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480" yWindow="30" windowWidth="18195" windowHeight="18210"/>
  </bookViews>
  <sheets>
    <sheet name="Sheet1" sheetId="1" r:id="rId1"/>
    <sheet name="Sheet2" sheetId="2" r:id="rId2"/>
    <sheet name="Sheet3" sheetId="3" r:id="rId3"/>
  </sheets>
  <definedNames>
    <definedName name="capacity">Sheet1!#REF!</definedName>
    <definedName name="Decision">Sheet1!$C$14:$N$24</definedName>
    <definedName name="people_delayed">Sheet1!$C$82:$N$92</definedName>
    <definedName name="performance">Sheet1!#REF!</definedName>
    <definedName name="plane_loads">Sheet1!$C$66:$N$76</definedName>
    <definedName name="preferences">Sheet1!$C$49:$N$59</definedName>
    <definedName name="solver_adj" localSheetId="0" hidden="1">Sheet1!$C$14:$N$24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1000</definedName>
    <definedName name="solver_lhs1" localSheetId="0" hidden="1">Sheet1!$C$25:$N$25</definedName>
    <definedName name="solver_lhs2" localSheetId="0" hidden="1">Sheet1!$C$25:$N$25</definedName>
    <definedName name="solver_lhs3" localSheetId="0" hidden="1">Sheet1!$O$14:$O$24</definedName>
    <definedName name="solver_lhs4" localSheetId="0" hidden="1">Sheet1!$O$14:$O$24</definedName>
    <definedName name="solver_lhs5" localSheetId="0" hidden="1">Sheet1!$B$5</definedName>
    <definedName name="solver_lin" localSheetId="0" hidden="1">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Sheet1!$B$9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el3" localSheetId="0" hidden="1">1</definedName>
    <definedName name="solver_rel4" localSheetId="0" hidden="1">3</definedName>
    <definedName name="solver_rel5" localSheetId="0" hidden="1">3</definedName>
    <definedName name="solver_rhs1" localSheetId="0" hidden="1">Sheet1!$C$27:$N$27</definedName>
    <definedName name="solver_rhs2" localSheetId="0" hidden="1">Sheet1!$C$26:$N$26</definedName>
    <definedName name="solver_rhs3" localSheetId="0" hidden="1">Sheet1!$Q$14:$Q$24</definedName>
    <definedName name="solver_rhs4" localSheetId="0" hidden="1">Sheet1!$P$14:$P$24</definedName>
    <definedName name="solver_rhs5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0</definedName>
    <definedName name="solver_tim" localSheetId="0" hidden="1">100</definedName>
    <definedName name="solver_tol" localSheetId="0" hidden="1">0.02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25725"/>
</workbook>
</file>

<file path=xl/calcChain.xml><?xml version="1.0" encoding="utf-8"?>
<calcChain xmlns="http://schemas.openxmlformats.org/spreadsheetml/2006/main">
  <c r="D27" i="1"/>
  <c r="E27"/>
  <c r="F27"/>
  <c r="G27"/>
  <c r="H27"/>
  <c r="I27"/>
  <c r="J27"/>
  <c r="K27"/>
  <c r="L27"/>
  <c r="M27"/>
  <c r="N27"/>
  <c r="C27"/>
  <c r="O21" l="1"/>
  <c r="C66"/>
  <c r="C82" s="1"/>
  <c r="O15" l="1"/>
  <c r="O16"/>
  <c r="O17"/>
  <c r="O18"/>
  <c r="O19"/>
  <c r="O20"/>
  <c r="O22"/>
  <c r="O23"/>
  <c r="O24"/>
  <c r="I34"/>
  <c r="Q15" s="1"/>
  <c r="I35"/>
  <c r="Q16" s="1"/>
  <c r="I36"/>
  <c r="Q17" s="1"/>
  <c r="I37"/>
  <c r="Q18" s="1"/>
  <c r="I38"/>
  <c r="I39"/>
  <c r="Q20" s="1"/>
  <c r="I40"/>
  <c r="Q21" s="1"/>
  <c r="I41"/>
  <c r="Q22" s="1"/>
  <c r="I42"/>
  <c r="Q23" s="1"/>
  <c r="I43"/>
  <c r="Q24" s="1"/>
  <c r="I33"/>
  <c r="Q14" s="1"/>
  <c r="Q19"/>
  <c r="C67"/>
  <c r="C83" s="1"/>
  <c r="D67"/>
  <c r="D83" s="1"/>
  <c r="E67"/>
  <c r="E83" s="1"/>
  <c r="F67"/>
  <c r="F83" s="1"/>
  <c r="G67"/>
  <c r="G83" s="1"/>
  <c r="H67"/>
  <c r="H83" s="1"/>
  <c r="I67"/>
  <c r="I83" s="1"/>
  <c r="J67"/>
  <c r="J83" s="1"/>
  <c r="K67"/>
  <c r="K83" s="1"/>
  <c r="L67"/>
  <c r="L83" s="1"/>
  <c r="M67"/>
  <c r="M83" s="1"/>
  <c r="N67"/>
  <c r="N83" s="1"/>
  <c r="C68"/>
  <c r="C84" s="1"/>
  <c r="D68"/>
  <c r="D84" s="1"/>
  <c r="E68"/>
  <c r="E84" s="1"/>
  <c r="F68"/>
  <c r="F84" s="1"/>
  <c r="G68"/>
  <c r="G84" s="1"/>
  <c r="H68"/>
  <c r="H84" s="1"/>
  <c r="I68"/>
  <c r="I84" s="1"/>
  <c r="J68"/>
  <c r="J84" s="1"/>
  <c r="K68"/>
  <c r="K84" s="1"/>
  <c r="L68"/>
  <c r="L84" s="1"/>
  <c r="M68"/>
  <c r="M84" s="1"/>
  <c r="N68"/>
  <c r="N84" s="1"/>
  <c r="C69"/>
  <c r="C85" s="1"/>
  <c r="D69"/>
  <c r="D85" s="1"/>
  <c r="E69"/>
  <c r="E85" s="1"/>
  <c r="F69"/>
  <c r="F85" s="1"/>
  <c r="G69"/>
  <c r="G85" s="1"/>
  <c r="H69"/>
  <c r="H85" s="1"/>
  <c r="I69"/>
  <c r="I85" s="1"/>
  <c r="J69"/>
  <c r="J85" s="1"/>
  <c r="K69"/>
  <c r="K85" s="1"/>
  <c r="L69"/>
  <c r="L85" s="1"/>
  <c r="M69"/>
  <c r="M85" s="1"/>
  <c r="N69"/>
  <c r="N85" s="1"/>
  <c r="C70"/>
  <c r="C86" s="1"/>
  <c r="D70"/>
  <c r="D86" s="1"/>
  <c r="E70"/>
  <c r="E86" s="1"/>
  <c r="F70"/>
  <c r="F86" s="1"/>
  <c r="G70"/>
  <c r="G86" s="1"/>
  <c r="H70"/>
  <c r="H86" s="1"/>
  <c r="I70"/>
  <c r="I86" s="1"/>
  <c r="J70"/>
  <c r="J86" s="1"/>
  <c r="K70"/>
  <c r="K86" s="1"/>
  <c r="L70"/>
  <c r="L86" s="1"/>
  <c r="M70"/>
  <c r="M86" s="1"/>
  <c r="N70"/>
  <c r="N86" s="1"/>
  <c r="C71"/>
  <c r="C87" s="1"/>
  <c r="D71"/>
  <c r="D87" s="1"/>
  <c r="E71"/>
  <c r="E87" s="1"/>
  <c r="F71"/>
  <c r="F87" s="1"/>
  <c r="G71"/>
  <c r="G87" s="1"/>
  <c r="H71"/>
  <c r="H87" s="1"/>
  <c r="I71"/>
  <c r="I87" s="1"/>
  <c r="J71"/>
  <c r="J87" s="1"/>
  <c r="K71"/>
  <c r="K87" s="1"/>
  <c r="L71"/>
  <c r="L87" s="1"/>
  <c r="M71"/>
  <c r="M87" s="1"/>
  <c r="N71"/>
  <c r="N87" s="1"/>
  <c r="C72"/>
  <c r="C88" s="1"/>
  <c r="D72"/>
  <c r="D88" s="1"/>
  <c r="E72"/>
  <c r="E88" s="1"/>
  <c r="F72"/>
  <c r="F88" s="1"/>
  <c r="G72"/>
  <c r="G88" s="1"/>
  <c r="H72"/>
  <c r="H88" s="1"/>
  <c r="I72"/>
  <c r="I88" s="1"/>
  <c r="J72"/>
  <c r="J88" s="1"/>
  <c r="K72"/>
  <c r="K88" s="1"/>
  <c r="L72"/>
  <c r="L88" s="1"/>
  <c r="M72"/>
  <c r="M88" s="1"/>
  <c r="N72"/>
  <c r="N88" s="1"/>
  <c r="C73"/>
  <c r="C89" s="1"/>
  <c r="D73"/>
  <c r="D89" s="1"/>
  <c r="E73"/>
  <c r="E89" s="1"/>
  <c r="F73"/>
  <c r="F89" s="1"/>
  <c r="G73"/>
  <c r="G89" s="1"/>
  <c r="H73"/>
  <c r="H89" s="1"/>
  <c r="I73"/>
  <c r="I89" s="1"/>
  <c r="J73"/>
  <c r="J89" s="1"/>
  <c r="K73"/>
  <c r="K89" s="1"/>
  <c r="L73"/>
  <c r="L89" s="1"/>
  <c r="M73"/>
  <c r="M89" s="1"/>
  <c r="N73"/>
  <c r="N89" s="1"/>
  <c r="C74"/>
  <c r="C90" s="1"/>
  <c r="D74"/>
  <c r="D90" s="1"/>
  <c r="E74"/>
  <c r="E90" s="1"/>
  <c r="F74"/>
  <c r="F90" s="1"/>
  <c r="G74"/>
  <c r="G90" s="1"/>
  <c r="H74"/>
  <c r="H90" s="1"/>
  <c r="I74"/>
  <c r="I90" s="1"/>
  <c r="J74"/>
  <c r="J90" s="1"/>
  <c r="K74"/>
  <c r="K90" s="1"/>
  <c r="L74"/>
  <c r="L90" s="1"/>
  <c r="M74"/>
  <c r="M90" s="1"/>
  <c r="N74"/>
  <c r="N90" s="1"/>
  <c r="C75"/>
  <c r="C91" s="1"/>
  <c r="D75"/>
  <c r="D91" s="1"/>
  <c r="E75"/>
  <c r="E91" s="1"/>
  <c r="F75"/>
  <c r="F91" s="1"/>
  <c r="G75"/>
  <c r="G91" s="1"/>
  <c r="H75"/>
  <c r="H91" s="1"/>
  <c r="I75"/>
  <c r="I91" s="1"/>
  <c r="J75"/>
  <c r="J91" s="1"/>
  <c r="K75"/>
  <c r="K91" s="1"/>
  <c r="L75"/>
  <c r="L91" s="1"/>
  <c r="M75"/>
  <c r="M91" s="1"/>
  <c r="N75"/>
  <c r="N91" s="1"/>
  <c r="C76"/>
  <c r="C92" s="1"/>
  <c r="D76"/>
  <c r="D92" s="1"/>
  <c r="E76"/>
  <c r="E92" s="1"/>
  <c r="F76"/>
  <c r="F92" s="1"/>
  <c r="G76"/>
  <c r="G92" s="1"/>
  <c r="H76"/>
  <c r="H92" s="1"/>
  <c r="I76"/>
  <c r="I92" s="1"/>
  <c r="J76"/>
  <c r="J92" s="1"/>
  <c r="K76"/>
  <c r="K92" s="1"/>
  <c r="L76"/>
  <c r="L92" s="1"/>
  <c r="M76"/>
  <c r="M92" s="1"/>
  <c r="N76"/>
  <c r="N92" s="1"/>
  <c r="D66"/>
  <c r="D82" s="1"/>
  <c r="E66"/>
  <c r="E82" s="1"/>
  <c r="F66"/>
  <c r="F82" s="1"/>
  <c r="G66"/>
  <c r="G82" s="1"/>
  <c r="H66"/>
  <c r="H82" s="1"/>
  <c r="I66"/>
  <c r="I82" s="1"/>
  <c r="J66"/>
  <c r="J82" s="1"/>
  <c r="K66"/>
  <c r="K82" s="1"/>
  <c r="L66"/>
  <c r="L82" s="1"/>
  <c r="M66"/>
  <c r="M82" s="1"/>
  <c r="N66"/>
  <c r="N82" s="1"/>
  <c r="K34"/>
  <c r="M34" s="1"/>
  <c r="K35"/>
  <c r="M35" s="1"/>
  <c r="K36"/>
  <c r="M36" s="1"/>
  <c r="K37"/>
  <c r="M37" s="1"/>
  <c r="K38"/>
  <c r="M38" s="1"/>
  <c r="K39"/>
  <c r="M39" s="1"/>
  <c r="K40"/>
  <c r="M40" s="1"/>
  <c r="K41"/>
  <c r="M41" s="1"/>
  <c r="K42"/>
  <c r="M42" s="1"/>
  <c r="K43"/>
  <c r="M43" s="1"/>
  <c r="K33"/>
  <c r="M33" s="1"/>
  <c r="O14"/>
  <c r="B6" l="1"/>
  <c r="E6" s="1"/>
  <c r="B4"/>
  <c r="B3"/>
  <c r="D25"/>
  <c r="E25"/>
  <c r="F25"/>
  <c r="G25"/>
  <c r="H25"/>
  <c r="I25"/>
  <c r="J25"/>
  <c r="K25"/>
  <c r="L25"/>
  <c r="M25"/>
  <c r="N25"/>
  <c r="C25"/>
  <c r="B5" l="1"/>
  <c r="B9" s="1"/>
</calcChain>
</file>

<file path=xl/sharedStrings.xml><?xml version="1.0" encoding="utf-8"?>
<sst xmlns="http://schemas.openxmlformats.org/spreadsheetml/2006/main" count="205" uniqueCount="65">
  <si>
    <t>Gates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</si>
  <si>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</si>
  <si>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</si>
  <si>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</si>
  <si>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</si>
  <si>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</si>
  <si>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</si>
  <si>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</si>
  <si>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</si>
  <si>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</si>
  <si>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</si>
  <si>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</si>
  <si>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</si>
  <si>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Airlines</t>
  </si>
  <si>
    <t>Name</t>
  </si>
  <si>
    <t>Code</t>
  </si>
  <si>
    <t>Suggested Gate Allocations:</t>
  </si>
  <si>
    <t>Number of people served:</t>
  </si>
  <si>
    <t>SFO Gate Weekly Allocation Calculator</t>
  </si>
  <si>
    <t>Reliability</t>
  </si>
  <si>
    <t>Avg People on a flight</t>
  </si>
  <si>
    <t>Flights Granted</t>
  </si>
  <si>
    <t>Gate Preferences:</t>
  </si>
  <si>
    <t>Flights assigned actual</t>
  </si>
  <si>
    <t>Min flights per gate allowed</t>
  </si>
  <si>
    <t>Max flights per gate allowed</t>
  </si>
  <si>
    <t>Min Flights to  assign</t>
  </si>
  <si>
    <t>Max Flights to  assign</t>
  </si>
  <si>
    <t>Max people on a plane (calculated):</t>
  </si>
  <si>
    <t xml:space="preserve"> </t>
  </si>
  <si>
    <t xml:space="preserve">	AA</t>
  </si>
  <si>
    <t xml:space="preserve">	American Airlines	</t>
  </si>
  <si>
    <t xml:space="preserve">	AS</t>
  </si>
  <si>
    <t xml:space="preserve">	Alaska Airlines	</t>
  </si>
  <si>
    <t xml:space="preserve">	B6</t>
  </si>
  <si>
    <t xml:space="preserve">	Jetblue Airways	</t>
  </si>
  <si>
    <t xml:space="preserve">	DL</t>
  </si>
  <si>
    <t xml:space="preserve">	Delta Air Lines	</t>
  </si>
  <si>
    <t xml:space="preserve">	F9</t>
  </si>
  <si>
    <t xml:space="preserve">	Frontier Airlines</t>
  </si>
  <si>
    <t xml:space="preserve">	HA</t>
  </si>
  <si>
    <t xml:space="preserve">	Hawaiian Airlines</t>
  </si>
  <si>
    <t xml:space="preserve">	OO</t>
  </si>
  <si>
    <t xml:space="preserve">	SkyWest Airlines	</t>
  </si>
  <si>
    <t xml:space="preserve">	UA</t>
  </si>
  <si>
    <t xml:space="preserve">	United Airlines	</t>
  </si>
  <si>
    <t xml:space="preserve">	US</t>
  </si>
  <si>
    <t xml:space="preserve">	US Airways	</t>
  </si>
  <si>
    <t xml:space="preserve">	VX</t>
  </si>
  <si>
    <t xml:space="preserve">	Virgin America</t>
  </si>
  <si>
    <t xml:space="preserve">	WN</t>
  </si>
  <si>
    <t xml:space="preserve">	Southwest Airlines</t>
  </si>
  <si>
    <t>Total People</t>
  </si>
  <si>
    <t>Total Flights</t>
  </si>
  <si>
    <t>Airlines Historical Behavior SFO (May-Nov):</t>
  </si>
  <si>
    <t>Number of people served in 2015:</t>
  </si>
  <si>
    <t>Flights weekly T1</t>
  </si>
  <si>
    <t>Number of people served increment:</t>
  </si>
  <si>
    <t>Gate usage  [times a day] (9):</t>
  </si>
  <si>
    <t>Airline gate allowance increase:</t>
  </si>
  <si>
    <t>Number of people delayed:</t>
  </si>
  <si>
    <t xml:space="preserve"> People Delayed</t>
  </si>
  <si>
    <t>People affected by cancellations per flight (calculated):</t>
  </si>
  <si>
    <t>Goal function value:</t>
  </si>
  <si>
    <t>Decrease:</t>
  </si>
</sst>
</file>

<file path=xl/styles.xml><?xml version="1.0" encoding="utf-8"?>
<styleSheet xmlns="http://schemas.openxmlformats.org/spreadsheetml/2006/main">
  <numFmts count="1">
    <numFmt numFmtId="164" formatCode="0.0000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/>
      <bottom/>
      <diagonal/>
    </border>
    <border>
      <left style="thin">
        <color rgb="FF3F3F3F"/>
      </left>
      <right/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/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B2B2B2"/>
      </right>
      <top style="thin">
        <color rgb="FF3F3F3F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3F3F3F"/>
      </top>
      <bottom style="thin">
        <color rgb="FFB2B2B2"/>
      </bottom>
      <diagonal/>
    </border>
    <border>
      <left style="thin">
        <color rgb="FFB2B2B2"/>
      </left>
      <right style="thin">
        <color rgb="FF3F3F3F"/>
      </right>
      <top style="thin">
        <color rgb="FF3F3F3F"/>
      </top>
      <bottom style="thin">
        <color rgb="FFB2B2B2"/>
      </bottom>
      <diagonal/>
    </border>
    <border>
      <left style="thin">
        <color rgb="FF3F3F3F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3F3F3F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B2B2B2"/>
      </right>
      <top style="thin">
        <color rgb="FFB2B2B2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3F3F3F"/>
      </bottom>
      <diagonal/>
    </border>
    <border>
      <left style="thin">
        <color rgb="FFB2B2B2"/>
      </left>
      <right style="thin">
        <color rgb="FF3F3F3F"/>
      </right>
      <top style="thin">
        <color rgb="FFB2B2B2"/>
      </top>
      <bottom style="thin">
        <color rgb="FF3F3F3F"/>
      </bottom>
      <diagonal/>
    </border>
    <border>
      <left/>
      <right/>
      <top style="thin">
        <color rgb="FF3F3F3F"/>
      </top>
      <bottom/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</cellStyleXfs>
  <cellXfs count="60">
    <xf numFmtId="0" fontId="0" fillId="0" borderId="0" xfId="0"/>
    <xf numFmtId="0" fontId="2" fillId="2" borderId="1" xfId="1"/>
    <xf numFmtId="0" fontId="4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0" fillId="3" borderId="2" xfId="2" applyNumberFormat="1" applyFont="1" applyAlignment="1">
      <alignment horizontal="center"/>
    </xf>
    <xf numFmtId="1" fontId="0" fillId="3" borderId="2" xfId="2" applyNumberFormat="1" applyFont="1" applyBorder="1" applyAlignment="1">
      <alignment horizontal="center"/>
    </xf>
    <xf numFmtId="1" fontId="0" fillId="0" borderId="1" xfId="2" applyNumberFormat="1" applyFont="1" applyFill="1" applyBorder="1" applyAlignment="1">
      <alignment horizontal="center"/>
    </xf>
    <xf numFmtId="1" fontId="0" fillId="5" borderId="13" xfId="2" applyNumberFormat="1" applyFont="1" applyFill="1" applyBorder="1" applyAlignment="1">
      <alignment horizontal="center"/>
    </xf>
    <xf numFmtId="1" fontId="0" fillId="5" borderId="14" xfId="2" applyNumberFormat="1" applyFont="1" applyFill="1" applyBorder="1" applyAlignment="1">
      <alignment horizontal="center"/>
    </xf>
    <xf numFmtId="1" fontId="0" fillId="5" borderId="15" xfId="2" applyNumberFormat="1" applyFont="1" applyFill="1" applyBorder="1" applyAlignment="1">
      <alignment horizontal="center"/>
    </xf>
    <xf numFmtId="1" fontId="0" fillId="5" borderId="16" xfId="2" applyNumberFormat="1" applyFont="1" applyFill="1" applyBorder="1" applyAlignment="1">
      <alignment horizontal="center"/>
    </xf>
    <xf numFmtId="1" fontId="0" fillId="5" borderId="2" xfId="2" applyNumberFormat="1" applyFont="1" applyFill="1" applyBorder="1" applyAlignment="1">
      <alignment horizontal="center"/>
    </xf>
    <xf numFmtId="1" fontId="0" fillId="5" borderId="17" xfId="2" applyNumberFormat="1" applyFont="1" applyFill="1" applyBorder="1" applyAlignment="1">
      <alignment horizontal="center"/>
    </xf>
    <xf numFmtId="1" fontId="0" fillId="5" borderId="18" xfId="2" applyNumberFormat="1" applyFont="1" applyFill="1" applyBorder="1" applyAlignment="1">
      <alignment horizontal="center"/>
    </xf>
    <xf numFmtId="1" fontId="0" fillId="5" borderId="19" xfId="2" applyNumberFormat="1" applyFont="1" applyFill="1" applyBorder="1" applyAlignment="1">
      <alignment horizontal="center"/>
    </xf>
    <xf numFmtId="1" fontId="0" fillId="5" borderId="20" xfId="2" applyNumberFormat="1" applyFont="1" applyFill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6" fillId="2" borderId="1" xfId="1" applyFont="1"/>
    <xf numFmtId="1" fontId="8" fillId="0" borderId="2" xfId="2" applyNumberFormat="1" applyFont="1" applyFill="1" applyAlignment="1">
      <alignment horizontal="center"/>
    </xf>
    <xf numFmtId="0" fontId="0" fillId="4" borderId="1" xfId="0" applyFill="1" applyBorder="1"/>
    <xf numFmtId="0" fontId="9" fillId="0" borderId="0" xfId="0" applyFont="1"/>
    <xf numFmtId="0" fontId="4" fillId="0" borderId="0" xfId="0" applyFont="1" applyFill="1" applyBorder="1"/>
    <xf numFmtId="0" fontId="0" fillId="3" borderId="2" xfId="2" applyNumberFormat="1" applyFont="1" applyBorder="1" applyAlignment="1">
      <alignment horizontal="center"/>
    </xf>
    <xf numFmtId="9" fontId="9" fillId="0" borderId="0" xfId="0" applyNumberFormat="1" applyFont="1"/>
    <xf numFmtId="1" fontId="0" fillId="8" borderId="12" xfId="0" applyNumberFormat="1" applyFill="1" applyBorder="1" applyAlignment="1">
      <alignment horizontal="center"/>
    </xf>
    <xf numFmtId="1" fontId="0" fillId="8" borderId="0" xfId="0" applyNumberFormat="1" applyFill="1" applyAlignment="1">
      <alignment horizontal="center"/>
    </xf>
    <xf numFmtId="2" fontId="8" fillId="0" borderId="2" xfId="2" applyNumberFormat="1" applyFont="1" applyFill="1" applyAlignment="1">
      <alignment horizontal="center"/>
    </xf>
    <xf numFmtId="1" fontId="0" fillId="0" borderId="0" xfId="0" applyNumberFormat="1"/>
    <xf numFmtId="0" fontId="3" fillId="0" borderId="0" xfId="0" applyFont="1" applyAlignment="1">
      <alignment horizontal="right"/>
    </xf>
    <xf numFmtId="0" fontId="0" fillId="0" borderId="0" xfId="0" applyAlignment="1"/>
    <xf numFmtId="0" fontId="6" fillId="2" borderId="1" xfId="1" applyFont="1" applyAlignment="1">
      <alignment horizontal="center" vertical="center"/>
    </xf>
    <xf numFmtId="1" fontId="0" fillId="8" borderId="6" xfId="0" applyNumberFormat="1" applyFill="1" applyBorder="1" applyAlignment="1">
      <alignment horizontal="center"/>
    </xf>
    <xf numFmtId="1" fontId="0" fillId="8" borderId="10" xfId="0" applyNumberFormat="1" applyFill="1" applyBorder="1" applyAlignment="1">
      <alignment horizontal="center"/>
    </xf>
    <xf numFmtId="0" fontId="2" fillId="2" borderId="4" xfId="1" applyBorder="1" applyAlignment="1">
      <alignment horizontal="center" vertical="center" wrapText="1"/>
    </xf>
    <xf numFmtId="0" fontId="0" fillId="0" borderId="7" xfId="0" applyBorder="1" applyAlignment="1">
      <alignment wrapText="1"/>
    </xf>
    <xf numFmtId="0" fontId="0" fillId="0" borderId="8" xfId="0" applyBorder="1" applyAlignment="1">
      <alignment wrapText="1"/>
    </xf>
    <xf numFmtId="0" fontId="0" fillId="0" borderId="9" xfId="0" applyBorder="1" applyAlignment="1">
      <alignment wrapText="1"/>
    </xf>
    <xf numFmtId="164" fontId="0" fillId="6" borderId="6" xfId="0" applyNumberFormat="1" applyFill="1" applyBorder="1" applyAlignment="1">
      <alignment horizontal="center"/>
    </xf>
    <xf numFmtId="164" fontId="0" fillId="6" borderId="10" xfId="0" applyNumberFormat="1" applyFill="1" applyBorder="1" applyAlignment="1">
      <alignment horizontal="center"/>
    </xf>
    <xf numFmtId="0" fontId="2" fillId="2" borderId="1" xfId="1" applyAlignment="1">
      <alignment horizontal="center" vertical="center"/>
    </xf>
    <xf numFmtId="2" fontId="0" fillId="7" borderId="6" xfId="0" applyNumberFormat="1" applyFill="1" applyBorder="1" applyAlignment="1">
      <alignment horizontal="center"/>
    </xf>
    <xf numFmtId="2" fontId="0" fillId="7" borderId="10" xfId="0" applyNumberFormat="1" applyFill="1" applyBorder="1" applyAlignment="1">
      <alignment horizontal="center"/>
    </xf>
    <xf numFmtId="164" fontId="0" fillId="7" borderId="6" xfId="0" applyNumberFormat="1" applyFill="1" applyBorder="1" applyAlignment="1">
      <alignment horizontal="center"/>
    </xf>
    <xf numFmtId="164" fontId="0" fillId="7" borderId="10" xfId="0" applyNumberFormat="1" applyFill="1" applyBorder="1" applyAlignment="1">
      <alignment horizontal="center"/>
    </xf>
    <xf numFmtId="0" fontId="2" fillId="2" borderId="0" xfId="1" applyFont="1" applyBorder="1" applyAlignment="1">
      <alignment horizontal="right"/>
    </xf>
    <xf numFmtId="0" fontId="3" fillId="0" borderId="3" xfId="0" applyFont="1" applyBorder="1" applyAlignment="1">
      <alignment horizontal="right"/>
    </xf>
    <xf numFmtId="0" fontId="0" fillId="0" borderId="0" xfId="0" applyAlignment="1">
      <alignment horizontal="center" wrapText="1"/>
    </xf>
    <xf numFmtId="0" fontId="0" fillId="4" borderId="5" xfId="0" applyFill="1" applyBorder="1" applyAlignment="1">
      <alignment horizontal="center" wrapText="1"/>
    </xf>
    <xf numFmtId="0" fontId="0" fillId="4" borderId="11" xfId="0" applyFill="1" applyBorder="1" applyAlignment="1">
      <alignment horizontal="center" wrapText="1"/>
    </xf>
    <xf numFmtId="0" fontId="2" fillId="2" borderId="4" xfId="1" applyBorder="1" applyAlignment="1">
      <alignment horizontal="center" vertical="center"/>
    </xf>
    <xf numFmtId="0" fontId="0" fillId="0" borderId="7" xfId="0" applyBorder="1" applyAlignment="1"/>
    <xf numFmtId="0" fontId="0" fillId="0" borderId="8" xfId="0" applyBorder="1" applyAlignment="1"/>
    <xf numFmtId="0" fontId="0" fillId="0" borderId="9" xfId="0" applyBorder="1" applyAlignment="1"/>
    <xf numFmtId="1" fontId="0" fillId="7" borderId="6" xfId="0" applyNumberFormat="1" applyFill="1" applyBorder="1" applyAlignment="1">
      <alignment horizontal="center"/>
    </xf>
    <xf numFmtId="1" fontId="0" fillId="7" borderId="10" xfId="0" applyNumberFormat="1" applyFill="1" applyBorder="1" applyAlignment="1">
      <alignment horizontal="center"/>
    </xf>
    <xf numFmtId="0" fontId="0" fillId="0" borderId="21" xfId="0" applyBorder="1" applyAlignment="1"/>
    <xf numFmtId="0" fontId="3" fillId="0" borderId="0" xfId="0" applyFont="1" applyAlignment="1">
      <alignment horizontal="left"/>
    </xf>
    <xf numFmtId="2" fontId="9" fillId="0" borderId="0" xfId="0" applyNumberFormat="1" applyFont="1" applyFill="1"/>
  </cellXfs>
  <cellStyles count="3">
    <cellStyle name="Normal" xfId="0" builtinId="0"/>
    <cellStyle name="Note" xfId="2" builtinId="10"/>
    <cellStyle name="Output" xfId="1" builtinId="21"/>
  </cellStyles>
  <dxfs count="4">
    <dxf>
      <font>
        <color rgb="FFFF0000"/>
      </font>
      <fill>
        <patternFill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65BA5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V92"/>
  <sheetViews>
    <sheetView tabSelected="1" workbookViewId="0">
      <selection sqref="A1:S27"/>
    </sheetView>
  </sheetViews>
  <sheetFormatPr defaultRowHeight="15"/>
  <cols>
    <col min="1" max="1" width="36.7109375" customWidth="1"/>
    <col min="2" max="2" width="7.28515625" customWidth="1"/>
    <col min="3" max="4" width="5.42578125" customWidth="1"/>
    <col min="5" max="5" width="6" customWidth="1"/>
    <col min="6" max="14" width="5.42578125" customWidth="1"/>
    <col min="16" max="16" width="10.7109375" customWidth="1"/>
    <col min="17" max="17" width="12" customWidth="1"/>
    <col min="22" max="22" width="14.140625" customWidth="1"/>
  </cols>
  <sheetData>
    <row r="1" spans="1:22" ht="23.25">
      <c r="A1" s="3" t="s">
        <v>18</v>
      </c>
    </row>
    <row r="3" spans="1:22" ht="15.75">
      <c r="A3" s="2" t="s">
        <v>17</v>
      </c>
      <c r="B3" s="22">
        <f>SUMPRODUCT(Decision,plane_loads)</f>
        <v>139413.61591068254</v>
      </c>
      <c r="E3" t="s">
        <v>29</v>
      </c>
    </row>
    <row r="4" spans="1:22" ht="15.75">
      <c r="A4" s="2" t="s">
        <v>55</v>
      </c>
      <c r="B4">
        <f>SUM(K33:L43)/7/4.5/7</f>
        <v>121701.32636920027</v>
      </c>
    </row>
    <row r="5" spans="1:22" ht="15.75">
      <c r="A5" s="2" t="s">
        <v>57</v>
      </c>
      <c r="B5" s="25">
        <f>(B3-B4)/B4</f>
        <v>0.14553900166830749</v>
      </c>
    </row>
    <row r="6" spans="1:22" ht="15.75">
      <c r="A6" s="2" t="s">
        <v>60</v>
      </c>
      <c r="B6" s="29">
        <f>SUMPRODUCT(Decision,people_delayed)</f>
        <v>751.14649858522307</v>
      </c>
      <c r="C6" s="30" t="s">
        <v>64</v>
      </c>
      <c r="D6" s="31"/>
      <c r="E6" s="25">
        <f>(815-B6)/815</f>
        <v>7.8347854496658806E-2</v>
      </c>
    </row>
    <row r="7" spans="1:22" ht="15.75">
      <c r="A7" s="2" t="s">
        <v>58</v>
      </c>
      <c r="B7" s="6">
        <v>12</v>
      </c>
    </row>
    <row r="8" spans="1:22" ht="15.75">
      <c r="A8" s="23" t="s">
        <v>59</v>
      </c>
      <c r="B8" s="24">
        <v>1.25</v>
      </c>
    </row>
    <row r="9" spans="1:22">
      <c r="A9" s="58" t="s">
        <v>63</v>
      </c>
      <c r="B9" s="59">
        <f>2*B5+E6</f>
        <v>0.36942585783327381</v>
      </c>
      <c r="J9" s="58"/>
    </row>
    <row r="11" spans="1:22" ht="15.75">
      <c r="A11" s="2" t="s">
        <v>16</v>
      </c>
    </row>
    <row r="12" spans="1:22" ht="15" customHeight="1">
      <c r="A12" s="41" t="s">
        <v>13</v>
      </c>
      <c r="B12" s="41"/>
      <c r="C12" s="41" t="s">
        <v>0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9" t="s">
        <v>21</v>
      </c>
      <c r="P12" s="49" t="s">
        <v>26</v>
      </c>
      <c r="Q12" s="49" t="s">
        <v>27</v>
      </c>
      <c r="R12" s="51" t="s">
        <v>19</v>
      </c>
      <c r="S12" s="52"/>
      <c r="V12" s="48"/>
    </row>
    <row r="13" spans="1:22">
      <c r="A13" s="1" t="s">
        <v>14</v>
      </c>
      <c r="B13" s="1" t="s">
        <v>15</v>
      </c>
      <c r="C13" s="1" t="s">
        <v>1</v>
      </c>
      <c r="D13" s="1" t="s">
        <v>2</v>
      </c>
      <c r="E13" s="1" t="s">
        <v>3</v>
      </c>
      <c r="F13" s="1" t="s">
        <v>4</v>
      </c>
      <c r="G13" s="1" t="s">
        <v>5</v>
      </c>
      <c r="H13" s="1" t="s">
        <v>6</v>
      </c>
      <c r="I13" s="1" t="s">
        <v>7</v>
      </c>
      <c r="J13" s="1" t="s">
        <v>8</v>
      </c>
      <c r="K13" s="1" t="s">
        <v>9</v>
      </c>
      <c r="L13" s="1" t="s">
        <v>10</v>
      </c>
      <c r="M13" s="1" t="s">
        <v>11</v>
      </c>
      <c r="N13" s="1" t="s">
        <v>12</v>
      </c>
      <c r="O13" s="50"/>
      <c r="P13" s="50"/>
      <c r="Q13" s="50"/>
      <c r="R13" s="53"/>
      <c r="S13" s="54"/>
      <c r="V13" s="48"/>
    </row>
    <row r="14" spans="1:22">
      <c r="A14" s="21" t="s">
        <v>31</v>
      </c>
      <c r="B14" s="21" t="s">
        <v>30</v>
      </c>
      <c r="C14" s="8">
        <v>0</v>
      </c>
      <c r="D14" s="9">
        <v>0</v>
      </c>
      <c r="E14" s="9">
        <v>0</v>
      </c>
      <c r="F14" s="9">
        <v>0</v>
      </c>
      <c r="G14" s="9">
        <v>0</v>
      </c>
      <c r="H14" s="9">
        <v>0</v>
      </c>
      <c r="I14" s="9">
        <v>0</v>
      </c>
      <c r="J14" s="9">
        <v>0</v>
      </c>
      <c r="K14" s="9">
        <v>0</v>
      </c>
      <c r="L14" s="9">
        <v>69.9263038548753</v>
      </c>
      <c r="M14" s="9">
        <v>13.985260770975039</v>
      </c>
      <c r="N14" s="10">
        <v>0</v>
      </c>
      <c r="O14" s="26">
        <f>SUM(C14:N14)</f>
        <v>83.911564625850332</v>
      </c>
      <c r="P14" s="6">
        <v>0</v>
      </c>
      <c r="Q14" s="6">
        <f>I33*$B$8</f>
        <v>83.911564625850332</v>
      </c>
      <c r="R14" s="44">
        <v>0.99540600000000001</v>
      </c>
      <c r="S14" s="45">
        <v>0.28999999999999998</v>
      </c>
      <c r="V14" s="6">
        <v>67.129251700680271</v>
      </c>
    </row>
    <row r="15" spans="1:22">
      <c r="A15" s="21" t="s">
        <v>33</v>
      </c>
      <c r="B15" s="21" t="s">
        <v>32</v>
      </c>
      <c r="C15" s="11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18.488662131519284</v>
      </c>
      <c r="L15" s="12">
        <v>14.073696145124707</v>
      </c>
      <c r="M15" s="12">
        <v>0</v>
      </c>
      <c r="N15" s="13">
        <v>0</v>
      </c>
      <c r="O15" s="26">
        <f t="shared" ref="O15:O24" si="0">SUM(C15:N15)</f>
        <v>32.562358276643991</v>
      </c>
      <c r="P15" s="6">
        <v>0</v>
      </c>
      <c r="Q15" s="6">
        <f>I34*$B$8</f>
        <v>32.562358276643991</v>
      </c>
      <c r="R15" s="44">
        <v>0.99738899999999997</v>
      </c>
      <c r="S15" s="45">
        <v>0.28999999999999998</v>
      </c>
      <c r="V15" s="6">
        <v>26.049886621315192</v>
      </c>
    </row>
    <row r="16" spans="1:22">
      <c r="A16" s="21" t="s">
        <v>35</v>
      </c>
      <c r="B16" s="21" t="s">
        <v>34</v>
      </c>
      <c r="C16" s="11">
        <v>0</v>
      </c>
      <c r="D16" s="12">
        <v>0</v>
      </c>
      <c r="E16" s="12">
        <v>0</v>
      </c>
      <c r="F16" s="12">
        <v>0</v>
      </c>
      <c r="G16" s="12">
        <v>0</v>
      </c>
      <c r="H16" s="12">
        <v>0</v>
      </c>
      <c r="I16" s="12">
        <v>0</v>
      </c>
      <c r="J16" s="12">
        <v>0</v>
      </c>
      <c r="K16" s="12">
        <v>31.235827664399093</v>
      </c>
      <c r="L16" s="12">
        <v>0</v>
      </c>
      <c r="M16" s="12">
        <v>0</v>
      </c>
      <c r="N16" s="13">
        <v>0</v>
      </c>
      <c r="O16" s="26">
        <f t="shared" si="0"/>
        <v>31.235827664399093</v>
      </c>
      <c r="P16" s="6">
        <v>0</v>
      </c>
      <c r="Q16" s="6">
        <f>I35*$B$8</f>
        <v>31.235827664399093</v>
      </c>
      <c r="R16" s="39">
        <v>0.998004</v>
      </c>
      <c r="S16" s="40">
        <v>0.56000000000000005</v>
      </c>
      <c r="V16" s="6">
        <v>24.988662131519273</v>
      </c>
    </row>
    <row r="17" spans="1:22">
      <c r="A17" s="21" t="s">
        <v>37</v>
      </c>
      <c r="B17" s="21" t="s">
        <v>36</v>
      </c>
      <c r="C17" s="11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34.766439909297056</v>
      </c>
      <c r="K17" s="12">
        <v>34.275510204081627</v>
      </c>
      <c r="L17" s="12">
        <v>0</v>
      </c>
      <c r="M17" s="12">
        <v>0</v>
      </c>
      <c r="N17" s="13">
        <v>0</v>
      </c>
      <c r="O17" s="26">
        <f t="shared" si="0"/>
        <v>69.041950113378675</v>
      </c>
      <c r="P17" s="6">
        <v>0</v>
      </c>
      <c r="Q17" s="6">
        <f>I36*$B$8</f>
        <v>69.041950113378689</v>
      </c>
      <c r="R17" s="39">
        <v>0.99843999999999999</v>
      </c>
      <c r="S17" s="40">
        <v>0.5</v>
      </c>
      <c r="V17" s="6">
        <v>55.233560090702952</v>
      </c>
    </row>
    <row r="18" spans="1:22">
      <c r="A18" s="21" t="s">
        <v>39</v>
      </c>
      <c r="B18" s="21" t="s">
        <v>38</v>
      </c>
      <c r="C18" s="11">
        <v>0</v>
      </c>
      <c r="D18" s="12">
        <v>0</v>
      </c>
      <c r="E18" s="12">
        <v>0</v>
      </c>
      <c r="F18" s="12">
        <v>0</v>
      </c>
      <c r="G18" s="12">
        <v>0</v>
      </c>
      <c r="H18" s="12">
        <v>0</v>
      </c>
      <c r="I18" s="12">
        <v>0</v>
      </c>
      <c r="J18" s="12">
        <v>12.92517006802721</v>
      </c>
      <c r="K18" s="12">
        <v>0</v>
      </c>
      <c r="L18" s="12">
        <v>0</v>
      </c>
      <c r="M18" s="12">
        <v>0</v>
      </c>
      <c r="N18" s="13">
        <v>0</v>
      </c>
      <c r="O18" s="26">
        <f t="shared" si="0"/>
        <v>12.92517006802721</v>
      </c>
      <c r="P18" s="6">
        <v>0</v>
      </c>
      <c r="Q18" s="6">
        <f>I37*$B$8</f>
        <v>12.92517006802721</v>
      </c>
      <c r="R18" s="39">
        <v>1</v>
      </c>
      <c r="S18" s="40"/>
      <c r="V18" s="6">
        <v>10.340136054421768</v>
      </c>
    </row>
    <row r="19" spans="1:22">
      <c r="A19" s="21" t="s">
        <v>41</v>
      </c>
      <c r="B19" s="21" t="s">
        <v>40</v>
      </c>
      <c r="C19" s="11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4.149659863945578</v>
      </c>
      <c r="K19" s="12">
        <v>0</v>
      </c>
      <c r="L19" s="12">
        <v>0</v>
      </c>
      <c r="M19" s="12">
        <v>0</v>
      </c>
      <c r="N19" s="13">
        <v>0</v>
      </c>
      <c r="O19" s="26">
        <f t="shared" si="0"/>
        <v>4.149659863945578</v>
      </c>
      <c r="P19" s="6">
        <v>0</v>
      </c>
      <c r="Q19" s="6">
        <f>I38*$B$8</f>
        <v>4.149659863945578</v>
      </c>
      <c r="R19" s="39">
        <v>0.99216899999999997</v>
      </c>
      <c r="S19" s="40"/>
      <c r="V19" s="6">
        <v>3.3197278911564623</v>
      </c>
    </row>
    <row r="20" spans="1:22">
      <c r="A20" s="21" t="s">
        <v>43</v>
      </c>
      <c r="B20" s="21" t="s">
        <v>42</v>
      </c>
      <c r="C20" s="11">
        <v>0</v>
      </c>
      <c r="D20" s="12">
        <v>0</v>
      </c>
      <c r="E20" s="12">
        <v>0</v>
      </c>
      <c r="F20" s="12">
        <v>0</v>
      </c>
      <c r="G20" s="12">
        <v>7.7721088435374401</v>
      </c>
      <c r="H20" s="12">
        <v>84</v>
      </c>
      <c r="I20" s="12">
        <v>84</v>
      </c>
      <c r="J20" s="12">
        <v>32.158730158730158</v>
      </c>
      <c r="K20" s="12">
        <v>0</v>
      </c>
      <c r="L20" s="12">
        <v>0</v>
      </c>
      <c r="M20" s="12">
        <v>0</v>
      </c>
      <c r="N20" s="13">
        <v>0</v>
      </c>
      <c r="O20" s="26">
        <f t="shared" si="0"/>
        <v>207.93083900226759</v>
      </c>
      <c r="P20" s="6">
        <v>0</v>
      </c>
      <c r="Q20" s="6">
        <f>I39*$B$8</f>
        <v>207.93083900226759</v>
      </c>
      <c r="R20" s="39">
        <v>0.99187499999999995</v>
      </c>
      <c r="S20" s="40">
        <v>0.24</v>
      </c>
      <c r="V20" s="6">
        <v>166.34467120181407</v>
      </c>
    </row>
    <row r="21" spans="1:22">
      <c r="A21" s="21" t="s">
        <v>45</v>
      </c>
      <c r="B21" s="21" t="s">
        <v>44</v>
      </c>
      <c r="C21" s="11">
        <v>0</v>
      </c>
      <c r="D21" s="12">
        <v>54.371882086167773</v>
      </c>
      <c r="E21" s="12">
        <v>84</v>
      </c>
      <c r="F21" s="12">
        <v>84</v>
      </c>
      <c r="G21" s="12">
        <v>76.227891156462562</v>
      </c>
      <c r="H21" s="12">
        <v>0</v>
      </c>
      <c r="I21" s="12">
        <v>0</v>
      </c>
      <c r="J21" s="12">
        <v>0</v>
      </c>
      <c r="K21" s="12">
        <v>0</v>
      </c>
      <c r="L21" s="12">
        <v>0</v>
      </c>
      <c r="M21" s="12">
        <v>0</v>
      </c>
      <c r="N21" s="13">
        <v>0</v>
      </c>
      <c r="O21" s="26">
        <f>SUM(C21:N21)</f>
        <v>298.59977324263036</v>
      </c>
      <c r="P21" s="6">
        <v>0</v>
      </c>
      <c r="Q21" s="6">
        <f>I40*$B$8</f>
        <v>298.59977324263036</v>
      </c>
      <c r="R21" s="39">
        <v>0.99233000000000005</v>
      </c>
      <c r="S21" s="40"/>
      <c r="V21" s="6">
        <v>238.87981859410431</v>
      </c>
    </row>
    <row r="22" spans="1:22">
      <c r="A22" s="21" t="s">
        <v>47</v>
      </c>
      <c r="B22" s="21" t="s">
        <v>46</v>
      </c>
      <c r="C22" s="11">
        <v>0</v>
      </c>
      <c r="D22" s="12">
        <v>11.16780045351474</v>
      </c>
      <c r="E22" s="12">
        <v>0</v>
      </c>
      <c r="F22" s="12">
        <v>0</v>
      </c>
      <c r="G22" s="12">
        <v>0</v>
      </c>
      <c r="H22" s="12">
        <v>0</v>
      </c>
      <c r="I22" s="12">
        <v>0</v>
      </c>
      <c r="J22" s="12">
        <v>0</v>
      </c>
      <c r="K22" s="12">
        <v>0</v>
      </c>
      <c r="L22" s="12">
        <v>0</v>
      </c>
      <c r="M22" s="12">
        <v>0</v>
      </c>
      <c r="N22" s="13">
        <v>0</v>
      </c>
      <c r="O22" s="26">
        <f t="shared" si="0"/>
        <v>11.16780045351474</v>
      </c>
      <c r="P22" s="6">
        <v>0</v>
      </c>
      <c r="Q22" s="6">
        <f>I41*$B$8</f>
        <v>11.16780045351474</v>
      </c>
      <c r="R22" s="39">
        <v>0.99847699999999995</v>
      </c>
      <c r="S22" s="40"/>
      <c r="V22" s="6">
        <v>8.9342403628117921</v>
      </c>
    </row>
    <row r="23" spans="1:22">
      <c r="A23" s="21" t="s">
        <v>49</v>
      </c>
      <c r="B23" s="21" t="s">
        <v>48</v>
      </c>
      <c r="C23" s="11">
        <v>83.999999999999986</v>
      </c>
      <c r="D23" s="12">
        <v>18.46031746031748</v>
      </c>
      <c r="E23" s="12">
        <v>0</v>
      </c>
      <c r="F23" s="12">
        <v>0</v>
      </c>
      <c r="G23" s="12">
        <v>0</v>
      </c>
      <c r="H23" s="12">
        <v>0</v>
      </c>
      <c r="I23" s="12">
        <v>0</v>
      </c>
      <c r="J23" s="12">
        <v>0</v>
      </c>
      <c r="K23" s="12">
        <v>0</v>
      </c>
      <c r="L23" s="12">
        <v>0</v>
      </c>
      <c r="M23" s="12">
        <v>0</v>
      </c>
      <c r="N23" s="13">
        <v>0</v>
      </c>
      <c r="O23" s="26">
        <f t="shared" si="0"/>
        <v>102.46031746031747</v>
      </c>
      <c r="P23" s="6">
        <v>0</v>
      </c>
      <c r="Q23" s="6">
        <f>I42*$B$8</f>
        <v>102.46031746031747</v>
      </c>
      <c r="R23" s="39">
        <v>0.99719999999999998</v>
      </c>
      <c r="S23" s="40">
        <v>0.12</v>
      </c>
      <c r="V23" s="6">
        <v>81.968253968253975</v>
      </c>
    </row>
    <row r="24" spans="1:22">
      <c r="A24" s="21" t="s">
        <v>51</v>
      </c>
      <c r="B24" s="21" t="s">
        <v>50</v>
      </c>
      <c r="C24" s="14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6">
        <v>0</v>
      </c>
      <c r="O24" s="26">
        <f t="shared" si="0"/>
        <v>0</v>
      </c>
      <c r="P24" s="6">
        <v>0</v>
      </c>
      <c r="Q24" s="6">
        <f>I43*$B$8</f>
        <v>90.090702947845799</v>
      </c>
      <c r="R24" s="39">
        <v>0.97892000000000001</v>
      </c>
      <c r="S24" s="40">
        <v>0.95000000000000007</v>
      </c>
      <c r="V24" s="6">
        <v>72.072562358276642</v>
      </c>
    </row>
    <row r="25" spans="1:22">
      <c r="A25" s="46" t="s">
        <v>23</v>
      </c>
      <c r="B25" s="47"/>
      <c r="C25" s="27">
        <f>SUM(C14:C24)</f>
        <v>83.999999999999986</v>
      </c>
      <c r="D25" s="27">
        <f t="shared" ref="D25:N25" si="1">SUM(D14:D24)</f>
        <v>84</v>
      </c>
      <c r="E25" s="27">
        <f t="shared" si="1"/>
        <v>84</v>
      </c>
      <c r="F25" s="27">
        <f t="shared" si="1"/>
        <v>84</v>
      </c>
      <c r="G25" s="27">
        <f t="shared" si="1"/>
        <v>84</v>
      </c>
      <c r="H25" s="27">
        <f t="shared" si="1"/>
        <v>84</v>
      </c>
      <c r="I25" s="27">
        <f t="shared" si="1"/>
        <v>84</v>
      </c>
      <c r="J25" s="27">
        <f t="shared" si="1"/>
        <v>84</v>
      </c>
      <c r="K25" s="27">
        <f t="shared" si="1"/>
        <v>84</v>
      </c>
      <c r="L25" s="27">
        <f t="shared" si="1"/>
        <v>84</v>
      </c>
      <c r="M25" s="27">
        <f t="shared" si="1"/>
        <v>13.985260770975039</v>
      </c>
      <c r="N25" s="27">
        <f t="shared" si="1"/>
        <v>0</v>
      </c>
      <c r="O25" s="4"/>
      <c r="P25" s="4"/>
      <c r="Q25" s="4"/>
    </row>
    <row r="26" spans="1:22">
      <c r="A26" s="46" t="s">
        <v>24</v>
      </c>
      <c r="B26" s="47"/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4"/>
      <c r="P26" s="4"/>
      <c r="Q26" s="4"/>
    </row>
    <row r="27" spans="1:22">
      <c r="A27" s="46" t="s">
        <v>25</v>
      </c>
      <c r="B27" s="47"/>
      <c r="C27" s="5">
        <f>CEILING($B$7*7,1)</f>
        <v>84</v>
      </c>
      <c r="D27" s="5">
        <f t="shared" ref="D27:N27" si="2">CEILING($B$7*7,1)</f>
        <v>84</v>
      </c>
      <c r="E27" s="5">
        <f t="shared" si="2"/>
        <v>84</v>
      </c>
      <c r="F27" s="5">
        <f t="shared" si="2"/>
        <v>84</v>
      </c>
      <c r="G27" s="5">
        <f t="shared" si="2"/>
        <v>84</v>
      </c>
      <c r="H27" s="5">
        <f t="shared" si="2"/>
        <v>84</v>
      </c>
      <c r="I27" s="5">
        <f t="shared" si="2"/>
        <v>84</v>
      </c>
      <c r="J27" s="5">
        <f t="shared" si="2"/>
        <v>84</v>
      </c>
      <c r="K27" s="5">
        <f t="shared" si="2"/>
        <v>84</v>
      </c>
      <c r="L27" s="5">
        <f t="shared" si="2"/>
        <v>84</v>
      </c>
      <c r="M27" s="5">
        <f t="shared" si="2"/>
        <v>84</v>
      </c>
      <c r="N27" s="5">
        <f t="shared" si="2"/>
        <v>84</v>
      </c>
      <c r="O27" s="4"/>
      <c r="P27" s="4"/>
      <c r="Q27" s="4"/>
    </row>
    <row r="30" spans="1:22" ht="15.75">
      <c r="A30" s="2" t="s">
        <v>54</v>
      </c>
    </row>
    <row r="31" spans="1:22">
      <c r="A31" s="41" t="s">
        <v>13</v>
      </c>
      <c r="B31" s="41"/>
      <c r="C31" s="51" t="s">
        <v>19</v>
      </c>
      <c r="D31" s="52"/>
      <c r="E31" s="35" t="s">
        <v>20</v>
      </c>
      <c r="F31" s="36"/>
      <c r="G31" s="35" t="s">
        <v>53</v>
      </c>
      <c r="H31" s="36"/>
      <c r="I31" s="35" t="s">
        <v>56</v>
      </c>
      <c r="J31" s="36"/>
      <c r="K31" s="35" t="s">
        <v>52</v>
      </c>
      <c r="L31" s="36"/>
      <c r="M31" s="35" t="s">
        <v>61</v>
      </c>
      <c r="N31" s="36"/>
    </row>
    <row r="32" spans="1:22">
      <c r="A32" s="1" t="s">
        <v>14</v>
      </c>
      <c r="B32" s="1" t="s">
        <v>15</v>
      </c>
      <c r="C32" s="53"/>
      <c r="D32" s="54"/>
      <c r="E32" s="37"/>
      <c r="F32" s="38"/>
      <c r="G32" s="37"/>
      <c r="H32" s="38"/>
      <c r="I32" s="37"/>
      <c r="J32" s="38"/>
      <c r="K32" s="37"/>
      <c r="L32" s="38"/>
      <c r="M32" s="37"/>
      <c r="N32" s="38"/>
    </row>
    <row r="33" spans="1:14">
      <c r="A33" s="21" t="s">
        <v>31</v>
      </c>
      <c r="B33" s="21" t="s">
        <v>30</v>
      </c>
      <c r="C33" s="44">
        <v>0.99540600000000001</v>
      </c>
      <c r="D33" s="45">
        <v>0.28999999999999998</v>
      </c>
      <c r="E33" s="42">
        <v>218.58031930000001</v>
      </c>
      <c r="F33" s="43"/>
      <c r="G33" s="55">
        <v>14802</v>
      </c>
      <c r="H33" s="56"/>
      <c r="I33" s="33">
        <f>G33/7/4.5/7</f>
        <v>67.129251700680271</v>
      </c>
      <c r="J33" s="34"/>
      <c r="K33" s="33">
        <f t="shared" ref="K33:K43" si="3">C33*E33*G33</f>
        <v>3220562.3397570364</v>
      </c>
      <c r="L33" s="34"/>
      <c r="M33" s="33">
        <f>(1-C33)*K33</f>
        <v>14795.263388843783</v>
      </c>
      <c r="N33" s="34"/>
    </row>
    <row r="34" spans="1:14">
      <c r="A34" s="21" t="s">
        <v>33</v>
      </c>
      <c r="B34" s="21" t="s">
        <v>32</v>
      </c>
      <c r="C34" s="44">
        <v>0.99738899999999997</v>
      </c>
      <c r="D34" s="45">
        <v>0.28999999999999998</v>
      </c>
      <c r="E34" s="42">
        <v>160.47472920000001</v>
      </c>
      <c r="F34" s="43">
        <v>160.47472920000001</v>
      </c>
      <c r="G34" s="55">
        <v>5744</v>
      </c>
      <c r="H34" s="56"/>
      <c r="I34" s="33">
        <f t="shared" ref="I34:I43" si="4">G34/7/4.5/7</f>
        <v>26.049886621315192</v>
      </c>
      <c r="J34" s="34"/>
      <c r="K34" s="33">
        <f t="shared" si="3"/>
        <v>919360.11129374569</v>
      </c>
      <c r="L34" s="34"/>
      <c r="M34" s="33">
        <f t="shared" ref="M34:M43" si="5">(1-C34)*K34</f>
        <v>2400.4492505879975</v>
      </c>
      <c r="N34" s="34"/>
    </row>
    <row r="35" spans="1:14">
      <c r="A35" s="21" t="s">
        <v>35</v>
      </c>
      <c r="B35" s="21" t="s">
        <v>34</v>
      </c>
      <c r="C35" s="39">
        <v>0.998004</v>
      </c>
      <c r="D35" s="40">
        <v>0.56000000000000005</v>
      </c>
      <c r="E35" s="42">
        <v>225.1643942</v>
      </c>
      <c r="F35" s="43">
        <v>225.1643942</v>
      </c>
      <c r="G35" s="55">
        <v>5510</v>
      </c>
      <c r="H35" s="56"/>
      <c r="I35" s="33">
        <f t="shared" si="4"/>
        <v>24.988662131519273</v>
      </c>
      <c r="J35" s="34"/>
      <c r="K35" s="33">
        <f t="shared" si="3"/>
        <v>1238179.4630411642</v>
      </c>
      <c r="L35" s="34"/>
      <c r="M35" s="33">
        <f t="shared" si="5"/>
        <v>2471.4062082301612</v>
      </c>
      <c r="N35" s="34"/>
    </row>
    <row r="36" spans="1:14">
      <c r="A36" s="21" t="s">
        <v>37</v>
      </c>
      <c r="B36" s="21" t="s">
        <v>36</v>
      </c>
      <c r="C36" s="39">
        <v>0.99843999999999999</v>
      </c>
      <c r="D36" s="40">
        <v>0.5</v>
      </c>
      <c r="E36" s="42">
        <v>196.58486379999999</v>
      </c>
      <c r="F36" s="43">
        <v>196.58486379999999</v>
      </c>
      <c r="G36" s="55">
        <v>12179</v>
      </c>
      <c r="H36" s="56"/>
      <c r="I36" s="33">
        <f t="shared" si="4"/>
        <v>55.233560090702952</v>
      </c>
      <c r="J36" s="34"/>
      <c r="K36" s="33">
        <f t="shared" si="3"/>
        <v>2390472.0932124965</v>
      </c>
      <c r="L36" s="34"/>
      <c r="M36" s="33">
        <f t="shared" si="5"/>
        <v>3729.1364654115087</v>
      </c>
      <c r="N36" s="34"/>
    </row>
    <row r="37" spans="1:14">
      <c r="A37" s="21" t="s">
        <v>39</v>
      </c>
      <c r="B37" s="21" t="s">
        <v>38</v>
      </c>
      <c r="C37" s="39">
        <v>1</v>
      </c>
      <c r="D37" s="40"/>
      <c r="E37" s="42">
        <v>154.82539679999999</v>
      </c>
      <c r="F37" s="43">
        <v>154.82539679999999</v>
      </c>
      <c r="G37" s="55">
        <v>2280</v>
      </c>
      <c r="H37" s="56"/>
      <c r="I37" s="33">
        <f t="shared" si="4"/>
        <v>10.340136054421768</v>
      </c>
      <c r="J37" s="34"/>
      <c r="K37" s="33">
        <f t="shared" si="3"/>
        <v>353001.90470399999</v>
      </c>
      <c r="L37" s="34"/>
      <c r="M37" s="33">
        <f t="shared" si="5"/>
        <v>0</v>
      </c>
      <c r="N37" s="34"/>
    </row>
    <row r="38" spans="1:14">
      <c r="A38" s="21" t="s">
        <v>41</v>
      </c>
      <c r="B38" s="21" t="s">
        <v>40</v>
      </c>
      <c r="C38" s="39">
        <v>0.99216899999999997</v>
      </c>
      <c r="D38" s="40"/>
      <c r="E38" s="42">
        <v>376.44780220000001</v>
      </c>
      <c r="F38" s="43">
        <v>376.44780220000001</v>
      </c>
      <c r="G38" s="55">
        <v>732</v>
      </c>
      <c r="H38" s="56"/>
      <c r="I38" s="33">
        <f t="shared" si="4"/>
        <v>3.3197278911564623</v>
      </c>
      <c r="J38" s="34"/>
      <c r="K38" s="33">
        <f t="shared" si="3"/>
        <v>273401.88248543139</v>
      </c>
      <c r="L38" s="34"/>
      <c r="M38" s="33">
        <f t="shared" si="5"/>
        <v>2141.0101417434221</v>
      </c>
      <c r="N38" s="34"/>
    </row>
    <row r="39" spans="1:14">
      <c r="A39" s="21" t="s">
        <v>43</v>
      </c>
      <c r="B39" s="21" t="s">
        <v>42</v>
      </c>
      <c r="C39" s="39">
        <v>0.99187499999999995</v>
      </c>
      <c r="D39" s="40">
        <v>0.24</v>
      </c>
      <c r="E39" s="42">
        <v>68.412543749999998</v>
      </c>
      <c r="F39" s="43">
        <v>68.412543749999998</v>
      </c>
      <c r="G39" s="55">
        <v>36679</v>
      </c>
      <c r="H39" s="56"/>
      <c r="I39" s="33">
        <f t="shared" si="4"/>
        <v>166.34467120181407</v>
      </c>
      <c r="J39" s="34"/>
      <c r="K39" s="33">
        <f t="shared" si="3"/>
        <v>2488915.599707074</v>
      </c>
      <c r="L39" s="34"/>
      <c r="M39" s="33">
        <f t="shared" si="5"/>
        <v>20222.439247620099</v>
      </c>
      <c r="N39" s="34"/>
    </row>
    <row r="40" spans="1:14">
      <c r="A40" s="21" t="s">
        <v>45</v>
      </c>
      <c r="B40" s="21" t="s">
        <v>44</v>
      </c>
      <c r="C40" s="39">
        <v>0.99233000000000005</v>
      </c>
      <c r="D40" s="40"/>
      <c r="E40" s="42">
        <v>192.8453312</v>
      </c>
      <c r="F40" s="43">
        <v>192.8453312</v>
      </c>
      <c r="G40" s="55">
        <v>52673</v>
      </c>
      <c r="H40" s="56"/>
      <c r="I40" s="33">
        <f t="shared" si="4"/>
        <v>238.87981859410431</v>
      </c>
      <c r="J40" s="34"/>
      <c r="K40" s="33">
        <f t="shared" si="3"/>
        <v>10079832.248158218</v>
      </c>
      <c r="L40" s="34"/>
      <c r="M40" s="33">
        <f t="shared" si="5"/>
        <v>77312.313343373084</v>
      </c>
      <c r="N40" s="34"/>
    </row>
    <row r="41" spans="1:14">
      <c r="A41" s="21" t="s">
        <v>47</v>
      </c>
      <c r="B41" s="21" t="s">
        <v>46</v>
      </c>
      <c r="C41" s="39">
        <v>0.99847699999999995</v>
      </c>
      <c r="D41" s="40"/>
      <c r="E41" s="42">
        <v>290.82730459999999</v>
      </c>
      <c r="F41" s="43">
        <v>290.82730459999999</v>
      </c>
      <c r="G41" s="55">
        <v>1970</v>
      </c>
      <c r="H41" s="56"/>
      <c r="I41" s="33">
        <f t="shared" si="4"/>
        <v>8.9342403628117921</v>
      </c>
      <c r="J41" s="34"/>
      <c r="K41" s="33">
        <f t="shared" si="3"/>
        <v>572057.21799173555</v>
      </c>
      <c r="L41" s="34"/>
      <c r="M41" s="33">
        <f t="shared" si="5"/>
        <v>871.24314300144306</v>
      </c>
      <c r="N41" s="34"/>
    </row>
    <row r="42" spans="1:14">
      <c r="A42" s="21" t="s">
        <v>49</v>
      </c>
      <c r="B42" s="21" t="s">
        <v>48</v>
      </c>
      <c r="C42" s="39">
        <v>0.99719999999999998</v>
      </c>
      <c r="D42" s="40">
        <v>0.12</v>
      </c>
      <c r="E42" s="42">
        <v>169.60064180000001</v>
      </c>
      <c r="F42" s="43">
        <v>169.60064180000001</v>
      </c>
      <c r="G42" s="55">
        <v>18074</v>
      </c>
      <c r="H42" s="56"/>
      <c r="I42" s="33">
        <f t="shared" si="4"/>
        <v>81.968253968253975</v>
      </c>
      <c r="J42" s="34"/>
      <c r="K42" s="33">
        <f t="shared" si="3"/>
        <v>3056778.9862934989</v>
      </c>
      <c r="L42" s="34"/>
      <c r="M42" s="33">
        <f t="shared" si="5"/>
        <v>8558.9811616218722</v>
      </c>
      <c r="N42" s="34"/>
    </row>
    <row r="43" spans="1:14">
      <c r="A43" s="21" t="s">
        <v>51</v>
      </c>
      <c r="B43" s="21" t="s">
        <v>50</v>
      </c>
      <c r="C43" s="39">
        <v>0.97892000000000001</v>
      </c>
      <c r="D43" s="40">
        <v>0.95000000000000007</v>
      </c>
      <c r="E43" s="42">
        <v>144.15254239999999</v>
      </c>
      <c r="F43" s="43">
        <v>144.15254239999999</v>
      </c>
      <c r="G43" s="55">
        <v>15892</v>
      </c>
      <c r="H43" s="56"/>
      <c r="I43" s="33">
        <f t="shared" si="4"/>
        <v>72.072562358276642</v>
      </c>
      <c r="J43" s="34"/>
      <c r="K43" s="33">
        <f t="shared" si="3"/>
        <v>2242580.6177642574</v>
      </c>
      <c r="L43" s="34"/>
      <c r="M43" s="33">
        <f t="shared" si="5"/>
        <v>47273.599422470521</v>
      </c>
      <c r="N43" s="34"/>
    </row>
    <row r="44" spans="1:14">
      <c r="G44" s="57"/>
      <c r="H44" s="57"/>
      <c r="K44" s="57"/>
      <c r="L44" s="57"/>
    </row>
    <row r="46" spans="1:14" ht="15.75">
      <c r="A46" s="2" t="s">
        <v>22</v>
      </c>
    </row>
    <row r="47" spans="1:14">
      <c r="A47" s="41" t="s">
        <v>13</v>
      </c>
      <c r="B47" s="41"/>
      <c r="C47" s="41" t="s">
        <v>0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</row>
    <row r="48" spans="1:14">
      <c r="A48" s="1" t="s">
        <v>14</v>
      </c>
      <c r="B48" s="1" t="s">
        <v>15</v>
      </c>
      <c r="C48" s="1" t="s">
        <v>1</v>
      </c>
      <c r="D48" s="1" t="s">
        <v>2</v>
      </c>
      <c r="E48" s="1" t="s">
        <v>3</v>
      </c>
      <c r="F48" s="1" t="s">
        <v>4</v>
      </c>
      <c r="G48" s="1" t="s">
        <v>5</v>
      </c>
      <c r="H48" s="1" t="s">
        <v>6</v>
      </c>
      <c r="I48" s="1" t="s">
        <v>7</v>
      </c>
      <c r="J48" s="1" t="s">
        <v>8</v>
      </c>
      <c r="K48" s="1" t="s">
        <v>9</v>
      </c>
      <c r="L48" s="1" t="s">
        <v>10</v>
      </c>
      <c r="M48" s="1" t="s">
        <v>11</v>
      </c>
      <c r="N48" s="1" t="s">
        <v>12</v>
      </c>
    </row>
    <row r="49" spans="1:14">
      <c r="A49" s="21" t="s">
        <v>31</v>
      </c>
      <c r="B49" s="21" t="s">
        <v>30</v>
      </c>
      <c r="C49" s="7">
        <v>1</v>
      </c>
      <c r="D49" s="7">
        <v>1</v>
      </c>
      <c r="E49" s="7">
        <v>1</v>
      </c>
      <c r="F49" s="7">
        <v>1</v>
      </c>
      <c r="G49" s="7">
        <v>1</v>
      </c>
      <c r="H49" s="7">
        <v>1</v>
      </c>
      <c r="I49" s="7">
        <v>1</v>
      </c>
      <c r="J49" s="7">
        <v>1</v>
      </c>
      <c r="K49" s="7">
        <v>1</v>
      </c>
      <c r="L49" s="7">
        <v>1</v>
      </c>
      <c r="M49" s="7">
        <v>1</v>
      </c>
      <c r="N49" s="7">
        <v>1</v>
      </c>
    </row>
    <row r="50" spans="1:14">
      <c r="A50" s="21" t="s">
        <v>33</v>
      </c>
      <c r="B50" s="21" t="s">
        <v>32</v>
      </c>
      <c r="C50" s="7">
        <v>1</v>
      </c>
      <c r="D50" s="7">
        <v>1</v>
      </c>
      <c r="E50" s="7">
        <v>1</v>
      </c>
      <c r="F50" s="7">
        <v>1</v>
      </c>
      <c r="G50" s="7">
        <v>1</v>
      </c>
      <c r="H50" s="7">
        <v>1</v>
      </c>
      <c r="I50" s="7">
        <v>1</v>
      </c>
      <c r="J50" s="7">
        <v>1</v>
      </c>
      <c r="K50" s="7">
        <v>1</v>
      </c>
      <c r="L50" s="7">
        <v>1</v>
      </c>
      <c r="M50" s="7">
        <v>1</v>
      </c>
      <c r="N50" s="7">
        <v>1</v>
      </c>
    </row>
    <row r="51" spans="1:14">
      <c r="A51" s="21" t="s">
        <v>35</v>
      </c>
      <c r="B51" s="21" t="s">
        <v>34</v>
      </c>
      <c r="C51" s="7">
        <v>1</v>
      </c>
      <c r="D51" s="7">
        <v>1</v>
      </c>
      <c r="E51" s="7">
        <v>1</v>
      </c>
      <c r="F51" s="7">
        <v>1</v>
      </c>
      <c r="G51" s="7">
        <v>1</v>
      </c>
      <c r="H51" s="7">
        <v>1</v>
      </c>
      <c r="I51" s="7">
        <v>1</v>
      </c>
      <c r="J51" s="7">
        <v>1</v>
      </c>
      <c r="K51" s="7">
        <v>1</v>
      </c>
      <c r="L51" s="7">
        <v>1</v>
      </c>
      <c r="M51" s="7">
        <v>1</v>
      </c>
      <c r="N51" s="7">
        <v>1</v>
      </c>
    </row>
    <row r="52" spans="1:14">
      <c r="A52" s="21" t="s">
        <v>37</v>
      </c>
      <c r="B52" s="21" t="s">
        <v>36</v>
      </c>
      <c r="C52" s="7">
        <v>1</v>
      </c>
      <c r="D52" s="7">
        <v>1</v>
      </c>
      <c r="E52" s="7">
        <v>1</v>
      </c>
      <c r="F52" s="7">
        <v>1</v>
      </c>
      <c r="G52" s="7">
        <v>1</v>
      </c>
      <c r="H52" s="7">
        <v>1</v>
      </c>
      <c r="I52" s="7">
        <v>1</v>
      </c>
      <c r="J52" s="7">
        <v>1</v>
      </c>
      <c r="K52" s="7">
        <v>1</v>
      </c>
      <c r="L52" s="7">
        <v>1</v>
      </c>
      <c r="M52" s="7">
        <v>1</v>
      </c>
      <c r="N52" s="7">
        <v>1</v>
      </c>
    </row>
    <row r="53" spans="1:14">
      <c r="A53" s="21" t="s">
        <v>39</v>
      </c>
      <c r="B53" s="21" t="s">
        <v>38</v>
      </c>
      <c r="C53" s="7">
        <v>1</v>
      </c>
      <c r="D53" s="7">
        <v>1</v>
      </c>
      <c r="E53" s="7">
        <v>1</v>
      </c>
      <c r="F53" s="7">
        <v>1</v>
      </c>
      <c r="G53" s="7">
        <v>1</v>
      </c>
      <c r="H53" s="7">
        <v>1</v>
      </c>
      <c r="I53" s="7">
        <v>1</v>
      </c>
      <c r="J53" s="7">
        <v>1</v>
      </c>
      <c r="K53" s="7">
        <v>1</v>
      </c>
      <c r="L53" s="7">
        <v>1</v>
      </c>
      <c r="M53" s="7">
        <v>1</v>
      </c>
      <c r="N53" s="7">
        <v>1</v>
      </c>
    </row>
    <row r="54" spans="1:14">
      <c r="A54" s="21" t="s">
        <v>41</v>
      </c>
      <c r="B54" s="21" t="s">
        <v>40</v>
      </c>
      <c r="C54" s="7">
        <v>1</v>
      </c>
      <c r="D54" s="7">
        <v>1</v>
      </c>
      <c r="E54" s="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</row>
    <row r="55" spans="1:14">
      <c r="A55" s="21" t="s">
        <v>43</v>
      </c>
      <c r="B55" s="21" t="s">
        <v>42</v>
      </c>
      <c r="C55" s="7">
        <v>1</v>
      </c>
      <c r="D55" s="7">
        <v>1</v>
      </c>
      <c r="E55" s="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</row>
    <row r="56" spans="1:14">
      <c r="A56" s="21" t="s">
        <v>45</v>
      </c>
      <c r="B56" s="21" t="s">
        <v>44</v>
      </c>
      <c r="C56" s="7">
        <v>1</v>
      </c>
      <c r="D56" s="7">
        <v>1</v>
      </c>
      <c r="E56" s="7">
        <v>1</v>
      </c>
      <c r="F56" s="7">
        <v>1</v>
      </c>
      <c r="G56" s="7">
        <v>1</v>
      </c>
      <c r="H56" s="7">
        <v>1</v>
      </c>
      <c r="I56" s="7">
        <v>1</v>
      </c>
      <c r="J56" s="7">
        <v>1</v>
      </c>
      <c r="K56" s="7">
        <v>1</v>
      </c>
      <c r="L56" s="7">
        <v>1</v>
      </c>
      <c r="M56" s="7">
        <v>1</v>
      </c>
      <c r="N56" s="7">
        <v>1</v>
      </c>
    </row>
    <row r="57" spans="1:14">
      <c r="A57" s="21" t="s">
        <v>47</v>
      </c>
      <c r="B57" s="21" t="s">
        <v>46</v>
      </c>
      <c r="C57" s="7">
        <v>1</v>
      </c>
      <c r="D57" s="7">
        <v>1</v>
      </c>
      <c r="E57" s="7">
        <v>1</v>
      </c>
      <c r="F57" s="7">
        <v>1</v>
      </c>
      <c r="G57" s="7">
        <v>1</v>
      </c>
      <c r="H57" s="7">
        <v>1</v>
      </c>
      <c r="I57" s="7">
        <v>1</v>
      </c>
      <c r="J57" s="7">
        <v>1</v>
      </c>
      <c r="K57" s="7">
        <v>1</v>
      </c>
      <c r="L57" s="7">
        <v>1</v>
      </c>
      <c r="M57" s="7">
        <v>1</v>
      </c>
      <c r="N57" s="7">
        <v>1</v>
      </c>
    </row>
    <row r="58" spans="1:14">
      <c r="A58" s="21" t="s">
        <v>49</v>
      </c>
      <c r="B58" s="21" t="s">
        <v>48</v>
      </c>
      <c r="C58" s="7">
        <v>1</v>
      </c>
      <c r="D58" s="7">
        <v>1</v>
      </c>
      <c r="E58" s="7">
        <v>1</v>
      </c>
      <c r="F58" s="7">
        <v>1</v>
      </c>
      <c r="G58" s="7">
        <v>1</v>
      </c>
      <c r="H58" s="7">
        <v>1</v>
      </c>
      <c r="I58" s="7">
        <v>1</v>
      </c>
      <c r="J58" s="7">
        <v>1</v>
      </c>
      <c r="K58" s="7">
        <v>1</v>
      </c>
      <c r="L58" s="7">
        <v>1</v>
      </c>
      <c r="M58" s="7">
        <v>1</v>
      </c>
      <c r="N58" s="7">
        <v>1</v>
      </c>
    </row>
    <row r="59" spans="1:14">
      <c r="A59" s="21" t="s">
        <v>51</v>
      </c>
      <c r="B59" s="21" t="s">
        <v>50</v>
      </c>
      <c r="C59" s="7">
        <v>1</v>
      </c>
      <c r="D59" s="7">
        <v>1</v>
      </c>
      <c r="E59" s="7">
        <v>1</v>
      </c>
      <c r="F59" s="7">
        <v>1</v>
      </c>
      <c r="G59" s="7">
        <v>1</v>
      </c>
      <c r="H59" s="7">
        <v>1</v>
      </c>
      <c r="I59" s="7">
        <v>1</v>
      </c>
      <c r="J59" s="7">
        <v>1</v>
      </c>
      <c r="K59" s="7">
        <v>1</v>
      </c>
      <c r="L59" s="7">
        <v>1</v>
      </c>
      <c r="M59" s="7">
        <v>1</v>
      </c>
      <c r="N59" s="7">
        <v>1</v>
      </c>
    </row>
    <row r="63" spans="1:14" ht="15.75">
      <c r="A63" s="17" t="s">
        <v>28</v>
      </c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</row>
    <row r="64" spans="1:14">
      <c r="A64" s="32" t="s">
        <v>13</v>
      </c>
      <c r="B64" s="32"/>
      <c r="C64" s="32" t="s">
        <v>0</v>
      </c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</row>
    <row r="65" spans="1:14">
      <c r="A65" s="19" t="s">
        <v>14</v>
      </c>
      <c r="B65" s="19" t="s">
        <v>15</v>
      </c>
      <c r="C65" s="19" t="s">
        <v>1</v>
      </c>
      <c r="D65" s="19" t="s">
        <v>2</v>
      </c>
      <c r="E65" s="19" t="s">
        <v>3</v>
      </c>
      <c r="F65" s="19" t="s">
        <v>4</v>
      </c>
      <c r="G65" s="19" t="s">
        <v>5</v>
      </c>
      <c r="H65" s="19" t="s">
        <v>6</v>
      </c>
      <c r="I65" s="19" t="s">
        <v>7</v>
      </c>
      <c r="J65" s="19" t="s">
        <v>8</v>
      </c>
      <c r="K65" s="19" t="s">
        <v>9</v>
      </c>
      <c r="L65" s="19" t="s">
        <v>10</v>
      </c>
      <c r="M65" s="19" t="s">
        <v>11</v>
      </c>
      <c r="N65" s="19" t="s">
        <v>12</v>
      </c>
    </row>
    <row r="66" spans="1:14">
      <c r="A66" s="21" t="s">
        <v>31</v>
      </c>
      <c r="B66" s="21" t="s">
        <v>30</v>
      </c>
      <c r="C66" s="20">
        <f t="shared" ref="C66:N66" si="6">C49*$E33*$C33</f>
        <v>217.57616131313583</v>
      </c>
      <c r="D66" s="20">
        <f t="shared" si="6"/>
        <v>217.57616131313583</v>
      </c>
      <c r="E66" s="20">
        <f t="shared" si="6"/>
        <v>217.57616131313583</v>
      </c>
      <c r="F66" s="20">
        <f t="shared" si="6"/>
        <v>217.57616131313583</v>
      </c>
      <c r="G66" s="20">
        <f t="shared" si="6"/>
        <v>217.57616131313583</v>
      </c>
      <c r="H66" s="20">
        <f t="shared" si="6"/>
        <v>217.57616131313583</v>
      </c>
      <c r="I66" s="20">
        <f t="shared" si="6"/>
        <v>217.57616131313583</v>
      </c>
      <c r="J66" s="20">
        <f t="shared" si="6"/>
        <v>217.57616131313583</v>
      </c>
      <c r="K66" s="20">
        <f t="shared" si="6"/>
        <v>217.57616131313583</v>
      </c>
      <c r="L66" s="20">
        <f t="shared" si="6"/>
        <v>217.57616131313583</v>
      </c>
      <c r="M66" s="20">
        <f t="shared" si="6"/>
        <v>217.57616131313583</v>
      </c>
      <c r="N66" s="20">
        <f t="shared" si="6"/>
        <v>217.57616131313583</v>
      </c>
    </row>
    <row r="67" spans="1:14">
      <c r="A67" s="21" t="s">
        <v>33</v>
      </c>
      <c r="B67" s="21" t="s">
        <v>32</v>
      </c>
      <c r="C67" s="20">
        <f t="shared" ref="C67:N67" si="7">C50*$E34*$C34</f>
        <v>160.0557296820588</v>
      </c>
      <c r="D67" s="20">
        <f t="shared" si="7"/>
        <v>160.0557296820588</v>
      </c>
      <c r="E67" s="20">
        <f t="shared" si="7"/>
        <v>160.0557296820588</v>
      </c>
      <c r="F67" s="20">
        <f t="shared" si="7"/>
        <v>160.0557296820588</v>
      </c>
      <c r="G67" s="20">
        <f t="shared" si="7"/>
        <v>160.0557296820588</v>
      </c>
      <c r="H67" s="20">
        <f t="shared" si="7"/>
        <v>160.0557296820588</v>
      </c>
      <c r="I67" s="20">
        <f t="shared" si="7"/>
        <v>160.0557296820588</v>
      </c>
      <c r="J67" s="20">
        <f t="shared" si="7"/>
        <v>160.0557296820588</v>
      </c>
      <c r="K67" s="20">
        <f t="shared" si="7"/>
        <v>160.0557296820588</v>
      </c>
      <c r="L67" s="20">
        <f t="shared" si="7"/>
        <v>160.0557296820588</v>
      </c>
      <c r="M67" s="20">
        <f t="shared" si="7"/>
        <v>160.0557296820588</v>
      </c>
      <c r="N67" s="20">
        <f t="shared" si="7"/>
        <v>160.0557296820588</v>
      </c>
    </row>
    <row r="68" spans="1:14">
      <c r="A68" s="21" t="s">
        <v>35</v>
      </c>
      <c r="B68" s="21" t="s">
        <v>34</v>
      </c>
      <c r="C68" s="20">
        <f t="shared" ref="C68:N68" si="8">C51*$E35*$C35</f>
        <v>224.7149660691768</v>
      </c>
      <c r="D68" s="20">
        <f t="shared" si="8"/>
        <v>224.7149660691768</v>
      </c>
      <c r="E68" s="20">
        <f t="shared" si="8"/>
        <v>224.7149660691768</v>
      </c>
      <c r="F68" s="20">
        <f t="shared" si="8"/>
        <v>224.7149660691768</v>
      </c>
      <c r="G68" s="20">
        <f t="shared" si="8"/>
        <v>224.7149660691768</v>
      </c>
      <c r="H68" s="20">
        <f t="shared" si="8"/>
        <v>224.7149660691768</v>
      </c>
      <c r="I68" s="20">
        <f t="shared" si="8"/>
        <v>224.7149660691768</v>
      </c>
      <c r="J68" s="20">
        <f t="shared" si="8"/>
        <v>224.7149660691768</v>
      </c>
      <c r="K68" s="20">
        <f t="shared" si="8"/>
        <v>224.7149660691768</v>
      </c>
      <c r="L68" s="20">
        <f t="shared" si="8"/>
        <v>224.7149660691768</v>
      </c>
      <c r="M68" s="20">
        <f t="shared" si="8"/>
        <v>224.7149660691768</v>
      </c>
      <c r="N68" s="20">
        <f t="shared" si="8"/>
        <v>224.7149660691768</v>
      </c>
    </row>
    <row r="69" spans="1:14">
      <c r="A69" s="21" t="s">
        <v>37</v>
      </c>
      <c r="B69" s="21" t="s">
        <v>36</v>
      </c>
      <c r="C69" s="20">
        <f t="shared" ref="C69:N69" si="9">C52*$E36*$C36</f>
        <v>196.27819141247198</v>
      </c>
      <c r="D69" s="20">
        <f t="shared" si="9"/>
        <v>196.27819141247198</v>
      </c>
      <c r="E69" s="20">
        <f t="shared" si="9"/>
        <v>196.27819141247198</v>
      </c>
      <c r="F69" s="20">
        <f t="shared" si="9"/>
        <v>196.27819141247198</v>
      </c>
      <c r="G69" s="20">
        <f t="shared" si="9"/>
        <v>196.27819141247198</v>
      </c>
      <c r="H69" s="20">
        <f t="shared" si="9"/>
        <v>196.27819141247198</v>
      </c>
      <c r="I69" s="20">
        <f t="shared" si="9"/>
        <v>196.27819141247198</v>
      </c>
      <c r="J69" s="20">
        <f t="shared" si="9"/>
        <v>196.27819141247198</v>
      </c>
      <c r="K69" s="20">
        <f t="shared" si="9"/>
        <v>196.27819141247198</v>
      </c>
      <c r="L69" s="20">
        <f t="shared" si="9"/>
        <v>196.27819141247198</v>
      </c>
      <c r="M69" s="20">
        <f t="shared" si="9"/>
        <v>196.27819141247198</v>
      </c>
      <c r="N69" s="20">
        <f t="shared" si="9"/>
        <v>196.27819141247198</v>
      </c>
    </row>
    <row r="70" spans="1:14">
      <c r="A70" s="21" t="s">
        <v>39</v>
      </c>
      <c r="B70" s="21" t="s">
        <v>38</v>
      </c>
      <c r="C70" s="20">
        <f t="shared" ref="C70:N70" si="10">C53*$E37*$C37</f>
        <v>154.82539679999999</v>
      </c>
      <c r="D70" s="20">
        <f t="shared" si="10"/>
        <v>154.82539679999999</v>
      </c>
      <c r="E70" s="20">
        <f t="shared" si="10"/>
        <v>154.82539679999999</v>
      </c>
      <c r="F70" s="20">
        <f t="shared" si="10"/>
        <v>154.82539679999999</v>
      </c>
      <c r="G70" s="20">
        <f t="shared" si="10"/>
        <v>154.82539679999999</v>
      </c>
      <c r="H70" s="20">
        <f t="shared" si="10"/>
        <v>154.82539679999999</v>
      </c>
      <c r="I70" s="20">
        <f t="shared" si="10"/>
        <v>154.82539679999999</v>
      </c>
      <c r="J70" s="20">
        <f t="shared" si="10"/>
        <v>154.82539679999999</v>
      </c>
      <c r="K70" s="20">
        <f t="shared" si="10"/>
        <v>154.82539679999999</v>
      </c>
      <c r="L70" s="20">
        <f t="shared" si="10"/>
        <v>154.82539679999999</v>
      </c>
      <c r="M70" s="20">
        <f t="shared" si="10"/>
        <v>154.82539679999999</v>
      </c>
      <c r="N70" s="20">
        <f t="shared" si="10"/>
        <v>154.82539679999999</v>
      </c>
    </row>
    <row r="71" spans="1:14">
      <c r="A71" s="21" t="s">
        <v>41</v>
      </c>
      <c r="B71" s="21" t="s">
        <v>40</v>
      </c>
      <c r="C71" s="20">
        <f t="shared" ref="C71:N71" si="11">C54*$E38*$C38</f>
        <v>373.49983946097183</v>
      </c>
      <c r="D71" s="20">
        <f t="shared" si="11"/>
        <v>373.49983946097183</v>
      </c>
      <c r="E71" s="20">
        <f t="shared" si="11"/>
        <v>373.49983946097183</v>
      </c>
      <c r="F71" s="20">
        <f t="shared" si="11"/>
        <v>373.49983946097183</v>
      </c>
      <c r="G71" s="20">
        <f t="shared" si="11"/>
        <v>373.49983946097183</v>
      </c>
      <c r="H71" s="20">
        <f t="shared" si="11"/>
        <v>373.49983946097183</v>
      </c>
      <c r="I71" s="20">
        <f t="shared" si="11"/>
        <v>373.49983946097183</v>
      </c>
      <c r="J71" s="20">
        <f t="shared" si="11"/>
        <v>373.49983946097183</v>
      </c>
      <c r="K71" s="20">
        <f t="shared" si="11"/>
        <v>373.49983946097183</v>
      </c>
      <c r="L71" s="20">
        <f t="shared" si="11"/>
        <v>373.49983946097183</v>
      </c>
      <c r="M71" s="20">
        <f t="shared" si="11"/>
        <v>373.49983946097183</v>
      </c>
      <c r="N71" s="20">
        <f t="shared" si="11"/>
        <v>373.49983946097183</v>
      </c>
    </row>
    <row r="72" spans="1:14">
      <c r="A72" s="21" t="s">
        <v>43</v>
      </c>
      <c r="B72" s="21" t="s">
        <v>42</v>
      </c>
      <c r="C72" s="20">
        <f t="shared" ref="C72:N72" si="12">C55*$E39*$C39</f>
        <v>67.856691832031245</v>
      </c>
      <c r="D72" s="20">
        <f t="shared" si="12"/>
        <v>67.856691832031245</v>
      </c>
      <c r="E72" s="20">
        <f t="shared" si="12"/>
        <v>67.856691832031245</v>
      </c>
      <c r="F72" s="20">
        <f t="shared" si="12"/>
        <v>67.856691832031245</v>
      </c>
      <c r="G72" s="20">
        <f t="shared" si="12"/>
        <v>67.856691832031245</v>
      </c>
      <c r="H72" s="20">
        <f t="shared" si="12"/>
        <v>67.856691832031245</v>
      </c>
      <c r="I72" s="20">
        <f t="shared" si="12"/>
        <v>67.856691832031245</v>
      </c>
      <c r="J72" s="20">
        <f t="shared" si="12"/>
        <v>67.856691832031245</v>
      </c>
      <c r="K72" s="20">
        <f t="shared" si="12"/>
        <v>67.856691832031245</v>
      </c>
      <c r="L72" s="20">
        <f t="shared" si="12"/>
        <v>67.856691832031245</v>
      </c>
      <c r="M72" s="20">
        <f t="shared" si="12"/>
        <v>67.856691832031245</v>
      </c>
      <c r="N72" s="20">
        <f t="shared" si="12"/>
        <v>67.856691832031245</v>
      </c>
    </row>
    <row r="73" spans="1:14">
      <c r="A73" s="21" t="s">
        <v>45</v>
      </c>
      <c r="B73" s="21" t="s">
        <v>44</v>
      </c>
      <c r="C73" s="20">
        <f t="shared" ref="C73:N73" si="13">C56*$E40*$C40</f>
        <v>191.36620750969601</v>
      </c>
      <c r="D73" s="20">
        <f t="shared" si="13"/>
        <v>191.36620750969601</v>
      </c>
      <c r="E73" s="20">
        <f t="shared" si="13"/>
        <v>191.36620750969601</v>
      </c>
      <c r="F73" s="20">
        <f t="shared" si="13"/>
        <v>191.36620750969601</v>
      </c>
      <c r="G73" s="20">
        <f t="shared" si="13"/>
        <v>191.36620750969601</v>
      </c>
      <c r="H73" s="20">
        <f t="shared" si="13"/>
        <v>191.36620750969601</v>
      </c>
      <c r="I73" s="20">
        <f t="shared" si="13"/>
        <v>191.36620750969601</v>
      </c>
      <c r="J73" s="20">
        <f t="shared" si="13"/>
        <v>191.36620750969601</v>
      </c>
      <c r="K73" s="20">
        <f t="shared" si="13"/>
        <v>191.36620750969601</v>
      </c>
      <c r="L73" s="20">
        <f t="shared" si="13"/>
        <v>191.36620750969601</v>
      </c>
      <c r="M73" s="20">
        <f t="shared" si="13"/>
        <v>191.36620750969601</v>
      </c>
      <c r="N73" s="20">
        <f t="shared" si="13"/>
        <v>191.36620750969601</v>
      </c>
    </row>
    <row r="74" spans="1:14">
      <c r="A74" s="21" t="s">
        <v>47</v>
      </c>
      <c r="B74" s="21" t="s">
        <v>46</v>
      </c>
      <c r="C74" s="20">
        <f t="shared" ref="C74:N74" si="14">C57*$E41*$C41</f>
        <v>290.3843746150942</v>
      </c>
      <c r="D74" s="20">
        <f t="shared" si="14"/>
        <v>290.3843746150942</v>
      </c>
      <c r="E74" s="20">
        <f t="shared" si="14"/>
        <v>290.3843746150942</v>
      </c>
      <c r="F74" s="20">
        <f t="shared" si="14"/>
        <v>290.3843746150942</v>
      </c>
      <c r="G74" s="20">
        <f t="shared" si="14"/>
        <v>290.3843746150942</v>
      </c>
      <c r="H74" s="20">
        <f t="shared" si="14"/>
        <v>290.3843746150942</v>
      </c>
      <c r="I74" s="20">
        <f t="shared" si="14"/>
        <v>290.3843746150942</v>
      </c>
      <c r="J74" s="20">
        <f t="shared" si="14"/>
        <v>290.3843746150942</v>
      </c>
      <c r="K74" s="20">
        <f t="shared" si="14"/>
        <v>290.3843746150942</v>
      </c>
      <c r="L74" s="20">
        <f t="shared" si="14"/>
        <v>290.3843746150942</v>
      </c>
      <c r="M74" s="20">
        <f t="shared" si="14"/>
        <v>290.3843746150942</v>
      </c>
      <c r="N74" s="20">
        <f t="shared" si="14"/>
        <v>290.3843746150942</v>
      </c>
    </row>
    <row r="75" spans="1:14">
      <c r="A75" s="21" t="s">
        <v>49</v>
      </c>
      <c r="B75" s="21" t="s">
        <v>48</v>
      </c>
      <c r="C75" s="20">
        <f t="shared" ref="C75:N75" si="15">C58*$E42*$C42</f>
        <v>169.12576000295999</v>
      </c>
      <c r="D75" s="20">
        <f t="shared" si="15"/>
        <v>169.12576000295999</v>
      </c>
      <c r="E75" s="20">
        <f t="shared" si="15"/>
        <v>169.12576000295999</v>
      </c>
      <c r="F75" s="20">
        <f t="shared" si="15"/>
        <v>169.12576000295999</v>
      </c>
      <c r="G75" s="20">
        <f t="shared" si="15"/>
        <v>169.12576000295999</v>
      </c>
      <c r="H75" s="20">
        <f t="shared" si="15"/>
        <v>169.12576000295999</v>
      </c>
      <c r="I75" s="20">
        <f t="shared" si="15"/>
        <v>169.12576000295999</v>
      </c>
      <c r="J75" s="20">
        <f t="shared" si="15"/>
        <v>169.12576000295999</v>
      </c>
      <c r="K75" s="20">
        <f t="shared" si="15"/>
        <v>169.12576000295999</v>
      </c>
      <c r="L75" s="20">
        <f t="shared" si="15"/>
        <v>169.12576000295999</v>
      </c>
      <c r="M75" s="20">
        <f t="shared" si="15"/>
        <v>169.12576000295999</v>
      </c>
      <c r="N75" s="20">
        <f t="shared" si="15"/>
        <v>169.12576000295999</v>
      </c>
    </row>
    <row r="76" spans="1:14">
      <c r="A76" s="21" t="s">
        <v>51</v>
      </c>
      <c r="B76" s="21" t="s">
        <v>50</v>
      </c>
      <c r="C76" s="20">
        <f t="shared" ref="C76:N76" si="16">C59*$E43*$C43</f>
        <v>141.11380680620798</v>
      </c>
      <c r="D76" s="20">
        <f t="shared" si="16"/>
        <v>141.11380680620798</v>
      </c>
      <c r="E76" s="20">
        <f t="shared" si="16"/>
        <v>141.11380680620798</v>
      </c>
      <c r="F76" s="20">
        <f t="shared" si="16"/>
        <v>141.11380680620798</v>
      </c>
      <c r="G76" s="20">
        <f t="shared" si="16"/>
        <v>141.11380680620798</v>
      </c>
      <c r="H76" s="20">
        <f t="shared" si="16"/>
        <v>141.11380680620798</v>
      </c>
      <c r="I76" s="20">
        <f t="shared" si="16"/>
        <v>141.11380680620798</v>
      </c>
      <c r="J76" s="20">
        <f t="shared" si="16"/>
        <v>141.11380680620798</v>
      </c>
      <c r="K76" s="20">
        <f t="shared" si="16"/>
        <v>141.11380680620798</v>
      </c>
      <c r="L76" s="20">
        <f t="shared" si="16"/>
        <v>141.11380680620798</v>
      </c>
      <c r="M76" s="20">
        <f t="shared" si="16"/>
        <v>141.11380680620798</v>
      </c>
      <c r="N76" s="20">
        <f t="shared" si="16"/>
        <v>141.11380680620798</v>
      </c>
    </row>
    <row r="79" spans="1:14" ht="15.75">
      <c r="A79" s="17" t="s">
        <v>62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</row>
    <row r="80" spans="1:14">
      <c r="A80" s="32" t="s">
        <v>13</v>
      </c>
      <c r="B80" s="32"/>
      <c r="C80" s="32" t="s">
        <v>0</v>
      </c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</row>
    <row r="81" spans="1:14">
      <c r="A81" s="19" t="s">
        <v>14</v>
      </c>
      <c r="B81" s="19" t="s">
        <v>15</v>
      </c>
      <c r="C81" s="19" t="s">
        <v>1</v>
      </c>
      <c r="D81" s="19" t="s">
        <v>2</v>
      </c>
      <c r="E81" s="19" t="s">
        <v>3</v>
      </c>
      <c r="F81" s="19" t="s">
        <v>4</v>
      </c>
      <c r="G81" s="19" t="s">
        <v>5</v>
      </c>
      <c r="H81" s="19" t="s">
        <v>6</v>
      </c>
      <c r="I81" s="19" t="s">
        <v>7</v>
      </c>
      <c r="J81" s="19" t="s">
        <v>8</v>
      </c>
      <c r="K81" s="19" t="s">
        <v>9</v>
      </c>
      <c r="L81" s="19" t="s">
        <v>10</v>
      </c>
      <c r="M81" s="19" t="s">
        <v>11</v>
      </c>
      <c r="N81" s="19" t="s">
        <v>12</v>
      </c>
    </row>
    <row r="82" spans="1:14">
      <c r="A82" s="21" t="s">
        <v>31</v>
      </c>
      <c r="B82" s="21" t="s">
        <v>30</v>
      </c>
      <c r="C82" s="28">
        <f>C66*(1-$C33)</f>
        <v>0.99954488507254313</v>
      </c>
      <c r="D82" s="28">
        <f t="shared" ref="D82:N82" si="17">D66*(1-$C33)</f>
        <v>0.99954488507254313</v>
      </c>
      <c r="E82" s="28">
        <f t="shared" si="17"/>
        <v>0.99954488507254313</v>
      </c>
      <c r="F82" s="28">
        <f t="shared" si="17"/>
        <v>0.99954488507254313</v>
      </c>
      <c r="G82" s="28">
        <f t="shared" si="17"/>
        <v>0.99954488507254313</v>
      </c>
      <c r="H82" s="28">
        <f t="shared" si="17"/>
        <v>0.99954488507254313</v>
      </c>
      <c r="I82" s="28">
        <f t="shared" si="17"/>
        <v>0.99954488507254313</v>
      </c>
      <c r="J82" s="28">
        <f t="shared" si="17"/>
        <v>0.99954488507254313</v>
      </c>
      <c r="K82" s="28">
        <f t="shared" si="17"/>
        <v>0.99954488507254313</v>
      </c>
      <c r="L82" s="28">
        <f t="shared" si="17"/>
        <v>0.99954488507254313</v>
      </c>
      <c r="M82" s="28">
        <f t="shared" si="17"/>
        <v>0.99954488507254313</v>
      </c>
      <c r="N82" s="28">
        <f t="shared" si="17"/>
        <v>0.99954488507254313</v>
      </c>
    </row>
    <row r="83" spans="1:14">
      <c r="A83" s="21" t="s">
        <v>33</v>
      </c>
      <c r="B83" s="21" t="s">
        <v>32</v>
      </c>
      <c r="C83" s="28">
        <f t="shared" ref="C83:N83" si="18">C67*(1-$C34)</f>
        <v>0.41790551019986033</v>
      </c>
      <c r="D83" s="28">
        <f t="shared" si="18"/>
        <v>0.41790551019986033</v>
      </c>
      <c r="E83" s="28">
        <f t="shared" si="18"/>
        <v>0.41790551019986033</v>
      </c>
      <c r="F83" s="28">
        <f t="shared" si="18"/>
        <v>0.41790551019986033</v>
      </c>
      <c r="G83" s="28">
        <f t="shared" si="18"/>
        <v>0.41790551019986033</v>
      </c>
      <c r="H83" s="28">
        <f t="shared" si="18"/>
        <v>0.41790551019986033</v>
      </c>
      <c r="I83" s="28">
        <f t="shared" si="18"/>
        <v>0.41790551019986033</v>
      </c>
      <c r="J83" s="28">
        <f t="shared" si="18"/>
        <v>0.41790551019986033</v>
      </c>
      <c r="K83" s="28">
        <f t="shared" si="18"/>
        <v>0.41790551019986033</v>
      </c>
      <c r="L83" s="28">
        <f t="shared" si="18"/>
        <v>0.41790551019986033</v>
      </c>
      <c r="M83" s="28">
        <f t="shared" si="18"/>
        <v>0.41790551019986033</v>
      </c>
      <c r="N83" s="28">
        <f t="shared" si="18"/>
        <v>0.41790551019986033</v>
      </c>
    </row>
    <row r="84" spans="1:14">
      <c r="A84" s="21" t="s">
        <v>35</v>
      </c>
      <c r="B84" s="21" t="s">
        <v>34</v>
      </c>
      <c r="C84" s="28">
        <f t="shared" ref="C84:N84" si="19">C68*(1-$C35)</f>
        <v>0.4485310722740764</v>
      </c>
      <c r="D84" s="28">
        <f t="shared" si="19"/>
        <v>0.4485310722740764</v>
      </c>
      <c r="E84" s="28">
        <f t="shared" si="19"/>
        <v>0.4485310722740764</v>
      </c>
      <c r="F84" s="28">
        <f t="shared" si="19"/>
        <v>0.4485310722740764</v>
      </c>
      <c r="G84" s="28">
        <f t="shared" si="19"/>
        <v>0.4485310722740764</v>
      </c>
      <c r="H84" s="28">
        <f t="shared" si="19"/>
        <v>0.4485310722740764</v>
      </c>
      <c r="I84" s="28">
        <f t="shared" si="19"/>
        <v>0.4485310722740764</v>
      </c>
      <c r="J84" s="28">
        <f t="shared" si="19"/>
        <v>0.4485310722740764</v>
      </c>
      <c r="K84" s="28">
        <f t="shared" si="19"/>
        <v>0.4485310722740764</v>
      </c>
      <c r="L84" s="28">
        <f t="shared" si="19"/>
        <v>0.4485310722740764</v>
      </c>
      <c r="M84" s="28">
        <f t="shared" si="19"/>
        <v>0.4485310722740764</v>
      </c>
      <c r="N84" s="28">
        <f t="shared" si="19"/>
        <v>0.4485310722740764</v>
      </c>
    </row>
    <row r="85" spans="1:14">
      <c r="A85" s="21" t="s">
        <v>37</v>
      </c>
      <c r="B85" s="21" t="s">
        <v>36</v>
      </c>
      <c r="C85" s="28">
        <f t="shared" ref="C85:N85" si="20">C69*(1-$C36)</f>
        <v>0.30619397860345743</v>
      </c>
      <c r="D85" s="28">
        <f t="shared" si="20"/>
        <v>0.30619397860345743</v>
      </c>
      <c r="E85" s="28">
        <f t="shared" si="20"/>
        <v>0.30619397860345743</v>
      </c>
      <c r="F85" s="28">
        <f t="shared" si="20"/>
        <v>0.30619397860345743</v>
      </c>
      <c r="G85" s="28">
        <f t="shared" si="20"/>
        <v>0.30619397860345743</v>
      </c>
      <c r="H85" s="28">
        <f t="shared" si="20"/>
        <v>0.30619397860345743</v>
      </c>
      <c r="I85" s="28">
        <f t="shared" si="20"/>
        <v>0.30619397860345743</v>
      </c>
      <c r="J85" s="28">
        <f t="shared" si="20"/>
        <v>0.30619397860345743</v>
      </c>
      <c r="K85" s="28">
        <f t="shared" si="20"/>
        <v>0.30619397860345743</v>
      </c>
      <c r="L85" s="28">
        <f t="shared" si="20"/>
        <v>0.30619397860345743</v>
      </c>
      <c r="M85" s="28">
        <f t="shared" si="20"/>
        <v>0.30619397860345743</v>
      </c>
      <c r="N85" s="28">
        <f t="shared" si="20"/>
        <v>0.30619397860345743</v>
      </c>
    </row>
    <row r="86" spans="1:14">
      <c r="A86" s="21" t="s">
        <v>39</v>
      </c>
      <c r="B86" s="21" t="s">
        <v>38</v>
      </c>
      <c r="C86" s="28">
        <f t="shared" ref="C86:N86" si="21">C70*(1-$C37)</f>
        <v>0</v>
      </c>
      <c r="D86" s="28">
        <f t="shared" si="21"/>
        <v>0</v>
      </c>
      <c r="E86" s="28">
        <f t="shared" si="21"/>
        <v>0</v>
      </c>
      <c r="F86" s="28">
        <f t="shared" si="21"/>
        <v>0</v>
      </c>
      <c r="G86" s="28">
        <f t="shared" si="21"/>
        <v>0</v>
      </c>
      <c r="H86" s="28">
        <f t="shared" si="21"/>
        <v>0</v>
      </c>
      <c r="I86" s="28">
        <f t="shared" si="21"/>
        <v>0</v>
      </c>
      <c r="J86" s="28">
        <f t="shared" si="21"/>
        <v>0</v>
      </c>
      <c r="K86" s="28">
        <f t="shared" si="21"/>
        <v>0</v>
      </c>
      <c r="L86" s="28">
        <f t="shared" si="21"/>
        <v>0</v>
      </c>
      <c r="M86" s="28">
        <f t="shared" si="21"/>
        <v>0</v>
      </c>
      <c r="N86" s="28">
        <f t="shared" si="21"/>
        <v>0</v>
      </c>
    </row>
    <row r="87" spans="1:14">
      <c r="A87" s="21" t="s">
        <v>41</v>
      </c>
      <c r="B87" s="21" t="s">
        <v>40</v>
      </c>
      <c r="C87" s="28">
        <f t="shared" ref="C87:N87" si="22">C71*(1-$C38)</f>
        <v>2.9248772428188823</v>
      </c>
      <c r="D87" s="28">
        <f t="shared" si="22"/>
        <v>2.9248772428188823</v>
      </c>
      <c r="E87" s="28">
        <f t="shared" si="22"/>
        <v>2.9248772428188823</v>
      </c>
      <c r="F87" s="28">
        <f t="shared" si="22"/>
        <v>2.9248772428188823</v>
      </c>
      <c r="G87" s="28">
        <f t="shared" si="22"/>
        <v>2.9248772428188823</v>
      </c>
      <c r="H87" s="28">
        <f t="shared" si="22"/>
        <v>2.9248772428188823</v>
      </c>
      <c r="I87" s="28">
        <f t="shared" si="22"/>
        <v>2.9248772428188823</v>
      </c>
      <c r="J87" s="28">
        <f t="shared" si="22"/>
        <v>2.9248772428188823</v>
      </c>
      <c r="K87" s="28">
        <f t="shared" si="22"/>
        <v>2.9248772428188823</v>
      </c>
      <c r="L87" s="28">
        <f t="shared" si="22"/>
        <v>2.9248772428188823</v>
      </c>
      <c r="M87" s="28">
        <f t="shared" si="22"/>
        <v>2.9248772428188823</v>
      </c>
      <c r="N87" s="28">
        <f t="shared" si="22"/>
        <v>2.9248772428188823</v>
      </c>
    </row>
    <row r="88" spans="1:14">
      <c r="A88" s="21" t="s">
        <v>43</v>
      </c>
      <c r="B88" s="21" t="s">
        <v>42</v>
      </c>
      <c r="C88" s="28">
        <f t="shared" ref="C88:N88" si="23">C72*(1-$C39)</f>
        <v>0.55133562113525714</v>
      </c>
      <c r="D88" s="28">
        <f t="shared" si="23"/>
        <v>0.55133562113525714</v>
      </c>
      <c r="E88" s="28">
        <f t="shared" si="23"/>
        <v>0.55133562113525714</v>
      </c>
      <c r="F88" s="28">
        <f t="shared" si="23"/>
        <v>0.55133562113525714</v>
      </c>
      <c r="G88" s="28">
        <f t="shared" si="23"/>
        <v>0.55133562113525714</v>
      </c>
      <c r="H88" s="28">
        <f t="shared" si="23"/>
        <v>0.55133562113525714</v>
      </c>
      <c r="I88" s="28">
        <f t="shared" si="23"/>
        <v>0.55133562113525714</v>
      </c>
      <c r="J88" s="28">
        <f t="shared" si="23"/>
        <v>0.55133562113525714</v>
      </c>
      <c r="K88" s="28">
        <f t="shared" si="23"/>
        <v>0.55133562113525714</v>
      </c>
      <c r="L88" s="28">
        <f t="shared" si="23"/>
        <v>0.55133562113525714</v>
      </c>
      <c r="M88" s="28">
        <f t="shared" si="23"/>
        <v>0.55133562113525714</v>
      </c>
      <c r="N88" s="28">
        <f t="shared" si="23"/>
        <v>0.55133562113525714</v>
      </c>
    </row>
    <row r="89" spans="1:14">
      <c r="A89" s="21" t="s">
        <v>45</v>
      </c>
      <c r="B89" s="21" t="s">
        <v>44</v>
      </c>
      <c r="C89" s="28">
        <f t="shared" ref="C89:N89" si="24">C73*(1-$C40)</f>
        <v>1.4677788115993597</v>
      </c>
      <c r="D89" s="28">
        <f t="shared" si="24"/>
        <v>1.4677788115993597</v>
      </c>
      <c r="E89" s="28">
        <f t="shared" si="24"/>
        <v>1.4677788115993597</v>
      </c>
      <c r="F89" s="28">
        <f t="shared" si="24"/>
        <v>1.4677788115993597</v>
      </c>
      <c r="G89" s="28">
        <f t="shared" si="24"/>
        <v>1.4677788115993597</v>
      </c>
      <c r="H89" s="28">
        <f t="shared" si="24"/>
        <v>1.4677788115993597</v>
      </c>
      <c r="I89" s="28">
        <f t="shared" si="24"/>
        <v>1.4677788115993597</v>
      </c>
      <c r="J89" s="28">
        <f t="shared" si="24"/>
        <v>1.4677788115993597</v>
      </c>
      <c r="K89" s="28">
        <f t="shared" si="24"/>
        <v>1.4677788115993597</v>
      </c>
      <c r="L89" s="28">
        <f t="shared" si="24"/>
        <v>1.4677788115993597</v>
      </c>
      <c r="M89" s="28">
        <f t="shared" si="24"/>
        <v>1.4677788115993597</v>
      </c>
      <c r="N89" s="28">
        <f t="shared" si="24"/>
        <v>1.4677788115993597</v>
      </c>
    </row>
    <row r="90" spans="1:14">
      <c r="A90" s="21" t="s">
        <v>47</v>
      </c>
      <c r="B90" s="21" t="s">
        <v>46</v>
      </c>
      <c r="C90" s="28">
        <f t="shared" ref="C90:N90" si="25">C74*(1-$C41)</f>
        <v>0.44225540253880358</v>
      </c>
      <c r="D90" s="28">
        <f t="shared" si="25"/>
        <v>0.44225540253880358</v>
      </c>
      <c r="E90" s="28">
        <f t="shared" si="25"/>
        <v>0.44225540253880358</v>
      </c>
      <c r="F90" s="28">
        <f t="shared" si="25"/>
        <v>0.44225540253880358</v>
      </c>
      <c r="G90" s="28">
        <f t="shared" si="25"/>
        <v>0.44225540253880358</v>
      </c>
      <c r="H90" s="28">
        <f t="shared" si="25"/>
        <v>0.44225540253880358</v>
      </c>
      <c r="I90" s="28">
        <f t="shared" si="25"/>
        <v>0.44225540253880358</v>
      </c>
      <c r="J90" s="28">
        <f t="shared" si="25"/>
        <v>0.44225540253880358</v>
      </c>
      <c r="K90" s="28">
        <f t="shared" si="25"/>
        <v>0.44225540253880358</v>
      </c>
      <c r="L90" s="28">
        <f t="shared" si="25"/>
        <v>0.44225540253880358</v>
      </c>
      <c r="M90" s="28">
        <f t="shared" si="25"/>
        <v>0.44225540253880358</v>
      </c>
      <c r="N90" s="28">
        <f t="shared" si="25"/>
        <v>0.44225540253880358</v>
      </c>
    </row>
    <row r="91" spans="1:14">
      <c r="A91" s="21" t="s">
        <v>49</v>
      </c>
      <c r="B91" s="21" t="s">
        <v>48</v>
      </c>
      <c r="C91" s="28">
        <f t="shared" ref="C91:N91" si="26">C75*(1-$C42)</f>
        <v>0.47355212800829216</v>
      </c>
      <c r="D91" s="28">
        <f t="shared" si="26"/>
        <v>0.47355212800829216</v>
      </c>
      <c r="E91" s="28">
        <f t="shared" si="26"/>
        <v>0.47355212800829216</v>
      </c>
      <c r="F91" s="28">
        <f t="shared" si="26"/>
        <v>0.47355212800829216</v>
      </c>
      <c r="G91" s="28">
        <f t="shared" si="26"/>
        <v>0.47355212800829216</v>
      </c>
      <c r="H91" s="28">
        <f t="shared" si="26"/>
        <v>0.47355212800829216</v>
      </c>
      <c r="I91" s="28">
        <f t="shared" si="26"/>
        <v>0.47355212800829216</v>
      </c>
      <c r="J91" s="28">
        <f t="shared" si="26"/>
        <v>0.47355212800829216</v>
      </c>
      <c r="K91" s="28">
        <f t="shared" si="26"/>
        <v>0.47355212800829216</v>
      </c>
      <c r="L91" s="28">
        <f t="shared" si="26"/>
        <v>0.47355212800829216</v>
      </c>
      <c r="M91" s="28">
        <f t="shared" si="26"/>
        <v>0.47355212800829216</v>
      </c>
      <c r="N91" s="28">
        <f t="shared" si="26"/>
        <v>0.47355212800829216</v>
      </c>
    </row>
    <row r="92" spans="1:14">
      <c r="A92" s="21" t="s">
        <v>51</v>
      </c>
      <c r="B92" s="21" t="s">
        <v>50</v>
      </c>
      <c r="C92" s="28">
        <f t="shared" ref="C92:N92" si="27">C76*(1-$C43)</f>
        <v>2.9746790474748623</v>
      </c>
      <c r="D92" s="28">
        <f t="shared" si="27"/>
        <v>2.9746790474748623</v>
      </c>
      <c r="E92" s="28">
        <f t="shared" si="27"/>
        <v>2.9746790474748623</v>
      </c>
      <c r="F92" s="28">
        <f t="shared" si="27"/>
        <v>2.9746790474748623</v>
      </c>
      <c r="G92" s="28">
        <f t="shared" si="27"/>
        <v>2.9746790474748623</v>
      </c>
      <c r="H92" s="28">
        <f t="shared" si="27"/>
        <v>2.9746790474748623</v>
      </c>
      <c r="I92" s="28">
        <f t="shared" si="27"/>
        <v>2.9746790474748623</v>
      </c>
      <c r="J92" s="28">
        <f t="shared" si="27"/>
        <v>2.9746790474748623</v>
      </c>
      <c r="K92" s="28">
        <f t="shared" si="27"/>
        <v>2.9746790474748623</v>
      </c>
      <c r="L92" s="28">
        <f t="shared" si="27"/>
        <v>2.9746790474748623</v>
      </c>
      <c r="M92" s="28">
        <f t="shared" si="27"/>
        <v>2.9746790474748623</v>
      </c>
      <c r="N92" s="28">
        <f t="shared" si="27"/>
        <v>2.9746790474748623</v>
      </c>
    </row>
  </sheetData>
  <mergeCells count="103">
    <mergeCell ref="R20:S20"/>
    <mergeCell ref="R21:S21"/>
    <mergeCell ref="R22:S22"/>
    <mergeCell ref="R23:S23"/>
    <mergeCell ref="R24:S24"/>
    <mergeCell ref="I36:J36"/>
    <mergeCell ref="I37:J37"/>
    <mergeCell ref="I38:J38"/>
    <mergeCell ref="I39:J39"/>
    <mergeCell ref="I40:J40"/>
    <mergeCell ref="K31:L32"/>
    <mergeCell ref="I31:J32"/>
    <mergeCell ref="I33:J33"/>
    <mergeCell ref="I34:J34"/>
    <mergeCell ref="I35:J35"/>
    <mergeCell ref="G37:H37"/>
    <mergeCell ref="G38:H38"/>
    <mergeCell ref="G39:H39"/>
    <mergeCell ref="G40:H40"/>
    <mergeCell ref="K44:L44"/>
    <mergeCell ref="G44:H44"/>
    <mergeCell ref="I41:J41"/>
    <mergeCell ref="I42:J42"/>
    <mergeCell ref="I43:J43"/>
    <mergeCell ref="G42:H42"/>
    <mergeCell ref="K38:L38"/>
    <mergeCell ref="K39:L39"/>
    <mergeCell ref="K40:L40"/>
    <mergeCell ref="K41:L41"/>
    <mergeCell ref="K42:L42"/>
    <mergeCell ref="K33:L33"/>
    <mergeCell ref="K34:L34"/>
    <mergeCell ref="K35:L35"/>
    <mergeCell ref="K36:L36"/>
    <mergeCell ref="K37:L37"/>
    <mergeCell ref="G31:H32"/>
    <mergeCell ref="G33:H33"/>
    <mergeCell ref="G34:H34"/>
    <mergeCell ref="G35:H35"/>
    <mergeCell ref="G36:H36"/>
    <mergeCell ref="C37:D37"/>
    <mergeCell ref="C38:D38"/>
    <mergeCell ref="C40:D40"/>
    <mergeCell ref="C41:D41"/>
    <mergeCell ref="E40:F40"/>
    <mergeCell ref="E41:F41"/>
    <mergeCell ref="E37:F37"/>
    <mergeCell ref="E38:F38"/>
    <mergeCell ref="A31:B31"/>
    <mergeCell ref="C31:D32"/>
    <mergeCell ref="E31:F32"/>
    <mergeCell ref="E33:F33"/>
    <mergeCell ref="C33:D33"/>
    <mergeCell ref="A25:B25"/>
    <mergeCell ref="A27:B27"/>
    <mergeCell ref="V12:V13"/>
    <mergeCell ref="C12:N12"/>
    <mergeCell ref="A12:B12"/>
    <mergeCell ref="Q12:Q13"/>
    <mergeCell ref="O12:O13"/>
    <mergeCell ref="P12:P13"/>
    <mergeCell ref="A26:B26"/>
    <mergeCell ref="R12:S13"/>
    <mergeCell ref="R14:S14"/>
    <mergeCell ref="R15:S15"/>
    <mergeCell ref="R16:S16"/>
    <mergeCell ref="R17:S17"/>
    <mergeCell ref="R18:S18"/>
    <mergeCell ref="R19:S19"/>
    <mergeCell ref="C35:D35"/>
    <mergeCell ref="C36:D36"/>
    <mergeCell ref="E34:F34"/>
    <mergeCell ref="E35:F35"/>
    <mergeCell ref="E36:F36"/>
    <mergeCell ref="C34:D34"/>
    <mergeCell ref="C42:D42"/>
    <mergeCell ref="C43:D43"/>
    <mergeCell ref="A47:B47"/>
    <mergeCell ref="C47:N47"/>
    <mergeCell ref="E39:F39"/>
    <mergeCell ref="E42:F42"/>
    <mergeCell ref="E43:F43"/>
    <mergeCell ref="M42:N42"/>
    <mergeCell ref="M43:N43"/>
    <mergeCell ref="G41:H41"/>
    <mergeCell ref="G43:H43"/>
    <mergeCell ref="K43:L43"/>
    <mergeCell ref="C6:D6"/>
    <mergeCell ref="A80:B80"/>
    <mergeCell ref="C80:N80"/>
    <mergeCell ref="M37:N37"/>
    <mergeCell ref="M38:N38"/>
    <mergeCell ref="M39:N39"/>
    <mergeCell ref="M40:N40"/>
    <mergeCell ref="M41:N41"/>
    <mergeCell ref="M31:N32"/>
    <mergeCell ref="M33:N33"/>
    <mergeCell ref="M34:N34"/>
    <mergeCell ref="M35:N35"/>
    <mergeCell ref="M36:N36"/>
    <mergeCell ref="A64:B64"/>
    <mergeCell ref="C64:N64"/>
    <mergeCell ref="C39:D39"/>
  </mergeCells>
  <conditionalFormatting sqref="C39:D39 C42:D43 C33:D36 E33:H43 C37:C38 C40:C41 C49:N59 R20:S20 R23:S24 R14:S17 R18:R19 R21:R22">
    <cfRule type="cellIs" dxfId="3" priority="25" operator="greaterThan">
      <formula>0</formula>
    </cfRule>
  </conditionalFormatting>
  <conditionalFormatting sqref="V14:V24 C26:N27 B7:B8 P14:Q24">
    <cfRule type="cellIs" dxfId="2" priority="24" operator="greaterThan">
      <formula>-1</formula>
    </cfRule>
  </conditionalFormatting>
  <conditionalFormatting sqref="C14:N24">
    <cfRule type="cellIs" dxfId="1" priority="22" operator="greaterThan">
      <formula>0</formula>
    </cfRule>
  </conditionalFormatting>
  <conditionalFormatting sqref="O14:O24">
    <cfRule type="cellIs" dxfId="0" priority="10" operator="equal">
      <formula>0</formula>
    </cfRule>
  </conditionalFormatting>
  <pageMargins left="0.7" right="0.7" top="0.75" bottom="0.75" header="0.3" footer="0.3"/>
  <pageSetup scale="52" orientation="portrait" r:id="rId1"/>
  <legacyDrawing r:id="rId2"/>
  <controls>
    <control shapeId="1029" r:id="rId3" name="CommandButton2"/>
    <control shapeId="1028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Sheet1</vt:lpstr>
      <vt:lpstr>Sheet2</vt:lpstr>
      <vt:lpstr>Sheet3</vt:lpstr>
      <vt:lpstr>Decision</vt:lpstr>
      <vt:lpstr>people_delayed</vt:lpstr>
      <vt:lpstr>plane_loads</vt:lpstr>
      <vt:lpstr>preferences</vt:lpstr>
    </vt:vector>
  </TitlesOfParts>
  <Company>IVB Software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SFO Gate Allocation Calculator</dc:title>
  <dc:creator>Igor Baranov</dc:creator>
  <cp:lastModifiedBy>Igor Baranov</cp:lastModifiedBy>
  <cp:lastPrinted>2018-06-17T04:54:47Z</cp:lastPrinted>
  <dcterms:created xsi:type="dcterms:W3CDTF">2018-06-13T14:45:14Z</dcterms:created>
  <dcterms:modified xsi:type="dcterms:W3CDTF">2018-06-20T19:53:47Z</dcterms:modified>
</cp:coreProperties>
</file>