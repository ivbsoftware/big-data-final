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195" windowHeight="18210"/>
  </bookViews>
  <sheets>
    <sheet name="Sheet1" sheetId="1" r:id="rId1"/>
    <sheet name="Sheet2" sheetId="2" r:id="rId2"/>
    <sheet name="Sheet3" sheetId="3" r:id="rId3"/>
  </sheets>
  <definedNames>
    <definedName name="capacity">Sheet1!#REF!</definedName>
    <definedName name="Decision">Sheet1!$C$14:$N$24</definedName>
    <definedName name="performance">Sheet1!#REF!</definedName>
    <definedName name="plane_loads">Sheet1!$C$66:$N$76</definedName>
    <definedName name="preferences">Sheet1!$C$49:$N$59</definedName>
    <definedName name="solver_adj" localSheetId="0" hidden="1">Sheet1!$C$14:$N$24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1000</definedName>
    <definedName name="solver_lhs1" localSheetId="0" hidden="1">Sheet1!$C$25:$N$25</definedName>
    <definedName name="solver_lhs2" localSheetId="0" hidden="1">Sheet1!$O$14:$O$24</definedName>
    <definedName name="solver_lhs3" localSheetId="0" hidden="1">Sheet1!$C$25:$N$25</definedName>
    <definedName name="solver_lhs4" localSheetId="0" hidden="1">Sheet1!$O$14:$O$24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Sheet1!$B$3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el3" localSheetId="0" hidden="1">3</definedName>
    <definedName name="solver_rel4" localSheetId="0" hidden="1">3</definedName>
    <definedName name="solver_rhs1" localSheetId="0" hidden="1">Sheet1!$C$27:$N$27</definedName>
    <definedName name="solver_rhs2" localSheetId="0" hidden="1">Sheet1!$Q$14:$Q$24</definedName>
    <definedName name="solver_rhs3" localSheetId="0" hidden="1">Sheet1!$C$26:$N$26</definedName>
    <definedName name="solver_rhs4" localSheetId="0" hidden="1">Sheet1!$P$14:$P$24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100</definedName>
    <definedName name="solver_tol" localSheetId="0" hidden="1">0.02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O15" i="1" l="1"/>
  <c r="O16" i="1"/>
  <c r="O17" i="1"/>
  <c r="O18" i="1"/>
  <c r="O19" i="1"/>
  <c r="O20" i="1"/>
  <c r="O21" i="1"/>
  <c r="O22" i="1"/>
  <c r="O23" i="1"/>
  <c r="O24" i="1"/>
  <c r="I34" i="1"/>
  <c r="I35" i="1"/>
  <c r="Q16" i="1" s="1"/>
  <c r="I36" i="1"/>
  <c r="Q17" i="1" s="1"/>
  <c r="I37" i="1"/>
  <c r="Q18" i="1" s="1"/>
  <c r="I38" i="1"/>
  <c r="I39" i="1"/>
  <c r="I40" i="1"/>
  <c r="Q21" i="1" s="1"/>
  <c r="I41" i="1"/>
  <c r="Q22" i="1" s="1"/>
  <c r="I42" i="1"/>
  <c r="Q23" i="1" s="1"/>
  <c r="I43" i="1"/>
  <c r="Q24" i="1" s="1"/>
  <c r="I33" i="1"/>
  <c r="Q14" i="1" s="1"/>
  <c r="D27" i="1"/>
  <c r="E27" i="1"/>
  <c r="F27" i="1"/>
  <c r="G27" i="1"/>
  <c r="H27" i="1"/>
  <c r="I27" i="1"/>
  <c r="J27" i="1"/>
  <c r="K27" i="1"/>
  <c r="L27" i="1"/>
  <c r="M27" i="1"/>
  <c r="N27" i="1"/>
  <c r="C27" i="1"/>
  <c r="Q15" i="1"/>
  <c r="Q19" i="1"/>
  <c r="Q20" i="1"/>
  <c r="C67" i="1"/>
  <c r="D67" i="1"/>
  <c r="E67" i="1"/>
  <c r="F67" i="1"/>
  <c r="G67" i="1"/>
  <c r="H67" i="1"/>
  <c r="I67" i="1"/>
  <c r="J67" i="1"/>
  <c r="K67" i="1"/>
  <c r="L67" i="1"/>
  <c r="M67" i="1"/>
  <c r="N67" i="1"/>
  <c r="C68" i="1"/>
  <c r="D68" i="1"/>
  <c r="E68" i="1"/>
  <c r="F68" i="1"/>
  <c r="G68" i="1"/>
  <c r="H68" i="1"/>
  <c r="I68" i="1"/>
  <c r="J68" i="1"/>
  <c r="K68" i="1"/>
  <c r="L68" i="1"/>
  <c r="M68" i="1"/>
  <c r="N68" i="1"/>
  <c r="C69" i="1"/>
  <c r="D69" i="1"/>
  <c r="E69" i="1"/>
  <c r="F69" i="1"/>
  <c r="G69" i="1"/>
  <c r="H69" i="1"/>
  <c r="I69" i="1"/>
  <c r="J69" i="1"/>
  <c r="K69" i="1"/>
  <c r="L69" i="1"/>
  <c r="M69" i="1"/>
  <c r="N69" i="1"/>
  <c r="C70" i="1"/>
  <c r="D70" i="1"/>
  <c r="E70" i="1"/>
  <c r="F70" i="1"/>
  <c r="G70" i="1"/>
  <c r="H70" i="1"/>
  <c r="I70" i="1"/>
  <c r="J70" i="1"/>
  <c r="K70" i="1"/>
  <c r="L70" i="1"/>
  <c r="M70" i="1"/>
  <c r="N70" i="1"/>
  <c r="C71" i="1"/>
  <c r="D71" i="1"/>
  <c r="E71" i="1"/>
  <c r="F71" i="1"/>
  <c r="G71" i="1"/>
  <c r="H71" i="1"/>
  <c r="I71" i="1"/>
  <c r="J71" i="1"/>
  <c r="K71" i="1"/>
  <c r="L71" i="1"/>
  <c r="M71" i="1"/>
  <c r="N71" i="1"/>
  <c r="C72" i="1"/>
  <c r="D72" i="1"/>
  <c r="E72" i="1"/>
  <c r="F72" i="1"/>
  <c r="G72" i="1"/>
  <c r="H72" i="1"/>
  <c r="I72" i="1"/>
  <c r="J72" i="1"/>
  <c r="K72" i="1"/>
  <c r="L72" i="1"/>
  <c r="M72" i="1"/>
  <c r="N72" i="1"/>
  <c r="C73" i="1"/>
  <c r="D73" i="1"/>
  <c r="E73" i="1"/>
  <c r="F73" i="1"/>
  <c r="G73" i="1"/>
  <c r="H73" i="1"/>
  <c r="I73" i="1"/>
  <c r="J73" i="1"/>
  <c r="K73" i="1"/>
  <c r="L73" i="1"/>
  <c r="M73" i="1"/>
  <c r="N73" i="1"/>
  <c r="C74" i="1"/>
  <c r="D74" i="1"/>
  <c r="E74" i="1"/>
  <c r="F74" i="1"/>
  <c r="G74" i="1"/>
  <c r="H74" i="1"/>
  <c r="I74" i="1"/>
  <c r="J74" i="1"/>
  <c r="K74" i="1"/>
  <c r="L74" i="1"/>
  <c r="M74" i="1"/>
  <c r="N74" i="1"/>
  <c r="C75" i="1"/>
  <c r="D75" i="1"/>
  <c r="E75" i="1"/>
  <c r="F75" i="1"/>
  <c r="G75" i="1"/>
  <c r="H75" i="1"/>
  <c r="I75" i="1"/>
  <c r="J75" i="1"/>
  <c r="K75" i="1"/>
  <c r="L75" i="1"/>
  <c r="M75" i="1"/>
  <c r="N75" i="1"/>
  <c r="C76" i="1"/>
  <c r="D76" i="1"/>
  <c r="E76" i="1"/>
  <c r="F76" i="1"/>
  <c r="G76" i="1"/>
  <c r="H76" i="1"/>
  <c r="I76" i="1"/>
  <c r="J76" i="1"/>
  <c r="K76" i="1"/>
  <c r="L76" i="1"/>
  <c r="M76" i="1"/>
  <c r="N76" i="1"/>
  <c r="D66" i="1"/>
  <c r="E66" i="1"/>
  <c r="F66" i="1"/>
  <c r="G66" i="1"/>
  <c r="H66" i="1"/>
  <c r="I66" i="1"/>
  <c r="J66" i="1"/>
  <c r="K66" i="1"/>
  <c r="L66" i="1"/>
  <c r="M66" i="1"/>
  <c r="N66" i="1"/>
  <c r="K34" i="1"/>
  <c r="K35" i="1"/>
  <c r="K36" i="1"/>
  <c r="K37" i="1"/>
  <c r="K38" i="1"/>
  <c r="K39" i="1"/>
  <c r="K40" i="1"/>
  <c r="K41" i="1"/>
  <c r="K42" i="1"/>
  <c r="K43" i="1"/>
  <c r="K33" i="1"/>
  <c r="C66" i="1"/>
  <c r="O14" i="1"/>
  <c r="B4" i="1" l="1"/>
  <c r="B3" i="1"/>
  <c r="D25" i="1"/>
  <c r="E25" i="1"/>
  <c r="F25" i="1"/>
  <c r="G25" i="1"/>
  <c r="H25" i="1"/>
  <c r="I25" i="1"/>
  <c r="J25" i="1"/>
  <c r="K25" i="1"/>
  <c r="L25" i="1"/>
  <c r="M25" i="1"/>
  <c r="N25" i="1"/>
  <c r="C25" i="1"/>
  <c r="B5" i="1" l="1"/>
</calcChain>
</file>

<file path=xl/sharedStrings.xml><?xml version="1.0" encoding="utf-8"?>
<sst xmlns="http://schemas.openxmlformats.org/spreadsheetml/2006/main" count="150" uniqueCount="61">
  <si>
    <t>Gates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</si>
  <si>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</si>
  <si>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</si>
  <si>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</si>
  <si>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</si>
  <si>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</si>
  <si>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</si>
  <si>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</si>
  <si>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</si>
  <si>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</si>
  <si>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</si>
  <si>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</si>
  <si>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</si>
  <si>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Airlines</t>
  </si>
  <si>
    <t>Name</t>
  </si>
  <si>
    <t>Code</t>
  </si>
  <si>
    <t>Suggested Gate Allocations:</t>
  </si>
  <si>
    <t>Number of people served:</t>
  </si>
  <si>
    <t>SFO Gate Weekly Allocation Calculator</t>
  </si>
  <si>
    <t>Reliability</t>
  </si>
  <si>
    <t>Avg People on a flight</t>
  </si>
  <si>
    <t>Flights Granted</t>
  </si>
  <si>
    <t>Gate Preferences:</t>
  </si>
  <si>
    <t>Flights assigned actual</t>
  </si>
  <si>
    <t>Min flights per gate allowed</t>
  </si>
  <si>
    <t>Max flights per gate allowed</t>
  </si>
  <si>
    <t>Min Flights to  assign</t>
  </si>
  <si>
    <t>Max Flights to  assign</t>
  </si>
  <si>
    <t>Max people on a plane (calculated):</t>
  </si>
  <si>
    <t xml:space="preserve"> </t>
  </si>
  <si>
    <t xml:space="preserve">	AA</t>
  </si>
  <si>
    <t xml:space="preserve">	American Airlines	</t>
  </si>
  <si>
    <t xml:space="preserve">	AS</t>
  </si>
  <si>
    <t xml:space="preserve">	Alaska Airlines	</t>
  </si>
  <si>
    <t xml:space="preserve">	B6</t>
  </si>
  <si>
    <t xml:space="preserve">	Jetblue Airways	</t>
  </si>
  <si>
    <t xml:space="preserve">	DL</t>
  </si>
  <si>
    <t xml:space="preserve">	Delta Air Lines	</t>
  </si>
  <si>
    <t xml:space="preserve">	F9</t>
  </si>
  <si>
    <t xml:space="preserve">	Frontier Airlines</t>
  </si>
  <si>
    <t xml:space="preserve">	HA</t>
  </si>
  <si>
    <t xml:space="preserve">	Hawaiian Airlines</t>
  </si>
  <si>
    <t xml:space="preserve">	OO</t>
  </si>
  <si>
    <t xml:space="preserve">	SkyWest Airlines	</t>
  </si>
  <si>
    <t xml:space="preserve">	UA</t>
  </si>
  <si>
    <t xml:space="preserve">	United Airlines	</t>
  </si>
  <si>
    <t xml:space="preserve">	US</t>
  </si>
  <si>
    <t xml:space="preserve">	US Airways	</t>
  </si>
  <si>
    <t xml:space="preserve">	VX</t>
  </si>
  <si>
    <t xml:space="preserve">	Virgin America</t>
  </si>
  <si>
    <t xml:space="preserve">	WN</t>
  </si>
  <si>
    <t xml:space="preserve">	Southwest Airlines</t>
  </si>
  <si>
    <t>Total People</t>
  </si>
  <si>
    <t>Total Flights</t>
  </si>
  <si>
    <t>Airlines Historical Behavior SFO (May-Nov):</t>
  </si>
  <si>
    <t>Number of people served in 2015:</t>
  </si>
  <si>
    <t>Flights weekly T1</t>
  </si>
  <si>
    <t>Gate usage  increase:</t>
  </si>
  <si>
    <t>Number of people served increment:</t>
  </si>
  <si>
    <t>Gate usage  [times a day] (9):</t>
  </si>
  <si>
    <t>Airline gate allowance increase: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</si>
</sst>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3F3F3F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55">
    <xf numFmtId="0" fontId="0" fillId="0" borderId="0" xfId="0"/>
    <xf numFmtId="0" fontId="2" fillId="2" borderId="1" xfId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3" borderId="2" xfId="2" applyNumberFormat="1" applyFont="1" applyAlignment="1">
      <alignment horizontal="center"/>
    </xf>
    <xf numFmtId="1" fontId="0" fillId="3" borderId="2" xfId="2" applyNumberFormat="1" applyFont="1" applyBorder="1" applyAlignment="1">
      <alignment horizontal="center"/>
    </xf>
    <xf numFmtId="1" fontId="0" fillId="0" borderId="1" xfId="2" applyNumberFormat="1" applyFont="1" applyFill="1" applyBorder="1" applyAlignment="1">
      <alignment horizontal="center"/>
    </xf>
    <xf numFmtId="1" fontId="0" fillId="5" borderId="13" xfId="2" applyNumberFormat="1" applyFont="1" applyFill="1" applyBorder="1" applyAlignment="1">
      <alignment horizontal="center"/>
    </xf>
    <xf numFmtId="1" fontId="0" fillId="5" borderId="14" xfId="2" applyNumberFormat="1" applyFont="1" applyFill="1" applyBorder="1" applyAlignment="1">
      <alignment horizontal="center"/>
    </xf>
    <xf numFmtId="1" fontId="0" fillId="5" borderId="15" xfId="2" applyNumberFormat="1" applyFont="1" applyFill="1" applyBorder="1" applyAlignment="1">
      <alignment horizontal="center"/>
    </xf>
    <xf numFmtId="1" fontId="0" fillId="5" borderId="16" xfId="2" applyNumberFormat="1" applyFont="1" applyFill="1" applyBorder="1" applyAlignment="1">
      <alignment horizontal="center"/>
    </xf>
    <xf numFmtId="1" fontId="0" fillId="5" borderId="2" xfId="2" applyNumberFormat="1" applyFont="1" applyFill="1" applyBorder="1" applyAlignment="1">
      <alignment horizontal="center"/>
    </xf>
    <xf numFmtId="1" fontId="0" fillId="5" borderId="17" xfId="2" applyNumberFormat="1" applyFont="1" applyFill="1" applyBorder="1" applyAlignment="1">
      <alignment horizontal="center"/>
    </xf>
    <xf numFmtId="1" fontId="0" fillId="5" borderId="18" xfId="2" applyNumberFormat="1" applyFont="1" applyFill="1" applyBorder="1" applyAlignment="1">
      <alignment horizontal="center"/>
    </xf>
    <xf numFmtId="1" fontId="0" fillId="5" borderId="19" xfId="2" applyNumberFormat="1" applyFont="1" applyFill="1" applyBorder="1" applyAlignment="1">
      <alignment horizontal="center"/>
    </xf>
    <xf numFmtId="1" fontId="0" fillId="5" borderId="20" xfId="2" applyNumberFormat="1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1" xfId="1" applyFont="1"/>
    <xf numFmtId="1" fontId="8" fillId="0" borderId="2" xfId="2" applyNumberFormat="1" applyFont="1" applyFill="1" applyAlignment="1">
      <alignment horizontal="center"/>
    </xf>
    <xf numFmtId="0" fontId="6" fillId="2" borderId="1" xfId="1" applyFont="1" applyAlignment="1">
      <alignment horizontal="center" vertical="center"/>
    </xf>
    <xf numFmtId="0" fontId="2" fillId="2" borderId="1" xfId="1" applyAlignment="1">
      <alignment horizontal="center" vertical="center"/>
    </xf>
    <xf numFmtId="0" fontId="2" fillId="2" borderId="0" xfId="1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0" fillId="0" borderId="0" xfId="0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2" fillId="2" borderId="4" xfId="1" applyBorder="1" applyAlignment="1">
      <alignment horizontal="center" vertical="center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2" fillId="2" borderId="4" xfId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4" borderId="1" xfId="0" applyFill="1" applyBorder="1"/>
    <xf numFmtId="168" fontId="0" fillId="6" borderId="6" xfId="0" applyNumberFormat="1" applyFill="1" applyBorder="1" applyAlignment="1">
      <alignment horizontal="center"/>
    </xf>
    <xf numFmtId="168" fontId="0" fillId="6" borderId="10" xfId="0" applyNumberFormat="1" applyFill="1" applyBorder="1" applyAlignment="1">
      <alignment horizontal="center"/>
    </xf>
    <xf numFmtId="0" fontId="0" fillId="0" borderId="21" xfId="0" applyBorder="1" applyAlignment="1"/>
    <xf numFmtId="168" fontId="0" fillId="7" borderId="6" xfId="0" applyNumberFormat="1" applyFill="1" applyBorder="1" applyAlignment="1">
      <alignment horizontal="center"/>
    </xf>
    <xf numFmtId="168" fontId="0" fillId="7" borderId="10" xfId="0" applyNumberFormat="1" applyFill="1" applyBorder="1" applyAlignment="1">
      <alignment horizontal="center"/>
    </xf>
    <xf numFmtId="0" fontId="9" fillId="0" borderId="0" xfId="0" applyFont="1"/>
    <xf numFmtId="0" fontId="4" fillId="0" borderId="0" xfId="0" applyFont="1" applyFill="1" applyBorder="1"/>
    <xf numFmtId="0" fontId="0" fillId="3" borderId="2" xfId="2" applyNumberFormat="1" applyFont="1" applyBorder="1" applyAlignment="1">
      <alignment horizontal="center"/>
    </xf>
    <xf numFmtId="9" fontId="9" fillId="0" borderId="0" xfId="0" applyNumberFormat="1" applyFont="1"/>
    <xf numFmtId="1" fontId="0" fillId="8" borderId="12" xfId="0" applyNumberFormat="1" applyFill="1" applyBorder="1" applyAlignment="1">
      <alignment horizontal="center"/>
    </xf>
    <xf numFmtId="1" fontId="0" fillId="8" borderId="0" xfId="0" applyNumberFormat="1" applyFill="1" applyAlignment="1">
      <alignment horizontal="center"/>
    </xf>
    <xf numFmtId="1" fontId="0" fillId="8" borderId="6" xfId="0" applyNumberFormat="1" applyFill="1" applyBorder="1" applyAlignment="1">
      <alignment horizontal="center"/>
    </xf>
    <xf numFmtId="1" fontId="0" fillId="8" borderId="10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2" fontId="0" fillId="7" borderId="6" xfId="0" applyNumberFormat="1" applyFill="1" applyBorder="1" applyAlignment="1">
      <alignment horizontal="center"/>
    </xf>
    <xf numFmtId="2" fontId="0" fillId="7" borderId="10" xfId="0" applyNumberFormat="1" applyFill="1" applyBorder="1" applyAlignment="1">
      <alignment horizontal="center"/>
    </xf>
    <xf numFmtId="0" fontId="2" fillId="2" borderId="1" xfId="1" applyAlignment="1">
      <alignment horizontal="center"/>
    </xf>
  </cellXfs>
  <cellStyles count="3">
    <cellStyle name="Normal" xfId="0" builtinId="0"/>
    <cellStyle name="Note" xfId="2" builtinId="10"/>
    <cellStyle name="Output" xfId="1" builtinId="21"/>
  </cellStyles>
  <dxfs count="11"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5BA5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2</xdr:row>
          <xdr:rowOff>0</xdr:rowOff>
        </xdr:from>
        <xdr:to>
          <xdr:col>15</xdr:col>
          <xdr:colOff>314325</xdr:colOff>
          <xdr:row>5</xdr:row>
          <xdr:rowOff>9525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409575</xdr:colOff>
          <xdr:row>2</xdr:row>
          <xdr:rowOff>9524</xdr:rowOff>
        </xdr:from>
        <xdr:to>
          <xdr:col>16</xdr:col>
          <xdr:colOff>781050</xdr:colOff>
          <xdr:row>5</xdr:row>
          <xdr:rowOff>9524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76"/>
  <sheetViews>
    <sheetView tabSelected="1" workbookViewId="0">
      <selection activeCell="R32" sqref="R32"/>
    </sheetView>
  </sheetViews>
  <sheetFormatPr defaultRowHeight="15" x14ac:dyDescent="0.25"/>
  <cols>
    <col min="1" max="1" width="36.7109375" customWidth="1"/>
    <col min="2" max="2" width="7.28515625" customWidth="1"/>
    <col min="3" max="14" width="5.42578125" customWidth="1"/>
    <col min="16" max="16" width="10.7109375" customWidth="1"/>
    <col min="17" max="17" width="12" customWidth="1"/>
    <col min="20" max="20" width="14.140625" customWidth="1"/>
  </cols>
  <sheetData>
    <row r="1" spans="1:20" ht="23.25" x14ac:dyDescent="0.35">
      <c r="A1" s="3" t="s">
        <v>18</v>
      </c>
    </row>
    <row r="3" spans="1:20" ht="15.75" x14ac:dyDescent="0.25">
      <c r="A3" s="2" t="s">
        <v>17</v>
      </c>
      <c r="B3" s="42">
        <f>SUMPRODUCT(Decision,plane_loads)</f>
        <v>139364.44525042005</v>
      </c>
      <c r="E3" t="s">
        <v>29</v>
      </c>
    </row>
    <row r="4" spans="1:20" ht="15.75" x14ac:dyDescent="0.25">
      <c r="A4" s="2" t="s">
        <v>55</v>
      </c>
      <c r="B4">
        <f>SUM(K33:L43)/7/4.5/7</f>
        <v>121701.32636920027</v>
      </c>
    </row>
    <row r="5" spans="1:20" ht="15.75" x14ac:dyDescent="0.25">
      <c r="A5" s="2" t="s">
        <v>58</v>
      </c>
      <c r="B5" s="45">
        <f>(B3-B4)/B4</f>
        <v>0.14513497435217682</v>
      </c>
    </row>
    <row r="6" spans="1:20" ht="15.75" x14ac:dyDescent="0.25">
      <c r="A6" s="2"/>
    </row>
    <row r="7" spans="1:20" ht="15.75" x14ac:dyDescent="0.25">
      <c r="A7" s="2" t="s">
        <v>59</v>
      </c>
      <c r="B7" s="6">
        <v>9</v>
      </c>
    </row>
    <row r="8" spans="1:20" ht="15.75" x14ac:dyDescent="0.25">
      <c r="A8" s="2" t="s">
        <v>57</v>
      </c>
      <c r="B8" s="44">
        <v>1</v>
      </c>
    </row>
    <row r="9" spans="1:20" ht="15.75" x14ac:dyDescent="0.25">
      <c r="A9" s="43" t="s">
        <v>60</v>
      </c>
      <c r="B9" s="44">
        <v>1.25</v>
      </c>
    </row>
    <row r="11" spans="1:20" ht="15.75" x14ac:dyDescent="0.25">
      <c r="A11" s="2" t="s">
        <v>16</v>
      </c>
    </row>
    <row r="12" spans="1:20" ht="15" customHeight="1" x14ac:dyDescent="0.25">
      <c r="A12" s="22" t="s">
        <v>13</v>
      </c>
      <c r="B12" s="22"/>
      <c r="C12" s="22" t="s">
        <v>0</v>
      </c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6" t="s">
        <v>21</v>
      </c>
      <c r="P12" s="26" t="s">
        <v>26</v>
      </c>
      <c r="Q12" s="26" t="s">
        <v>27</v>
      </c>
      <c r="T12" s="25"/>
    </row>
    <row r="13" spans="1:20" x14ac:dyDescent="0.25">
      <c r="A13" s="1" t="s">
        <v>14</v>
      </c>
      <c r="B13" s="1" t="s">
        <v>15</v>
      </c>
      <c r="C13" s="54">
        <v>1</v>
      </c>
      <c r="D13" s="54">
        <v>2</v>
      </c>
      <c r="E13" s="54">
        <v>3</v>
      </c>
      <c r="F13" s="54">
        <v>4</v>
      </c>
      <c r="G13" s="54">
        <v>5</v>
      </c>
      <c r="H13" s="54">
        <v>6</v>
      </c>
      <c r="I13" s="54">
        <v>7</v>
      </c>
      <c r="J13" s="54">
        <v>8</v>
      </c>
      <c r="K13" s="54">
        <v>9</v>
      </c>
      <c r="L13" s="54">
        <v>10</v>
      </c>
      <c r="M13" s="54">
        <v>11</v>
      </c>
      <c r="N13" s="54">
        <v>12</v>
      </c>
      <c r="O13" s="27"/>
      <c r="P13" s="27"/>
      <c r="Q13" s="27"/>
      <c r="T13" s="25"/>
    </row>
    <row r="14" spans="1:20" x14ac:dyDescent="0.25">
      <c r="A14" s="36" t="s">
        <v>31</v>
      </c>
      <c r="B14" s="36" t="s">
        <v>30</v>
      </c>
      <c r="C14" s="8">
        <v>0</v>
      </c>
      <c r="D14" s="9">
        <v>0</v>
      </c>
      <c r="E14" s="9">
        <v>0</v>
      </c>
      <c r="F14" s="9">
        <v>20.911564625850339</v>
      </c>
      <c r="G14" s="9">
        <v>0</v>
      </c>
      <c r="H14" s="9">
        <v>63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10">
        <v>0</v>
      </c>
      <c r="O14" s="46">
        <f>SUM(C14:N14)</f>
        <v>83.911564625850332</v>
      </c>
      <c r="P14" s="6">
        <v>0</v>
      </c>
      <c r="Q14" s="6">
        <f>I33*$B$9</f>
        <v>83.911564625850332</v>
      </c>
    </row>
    <row r="15" spans="1:20" x14ac:dyDescent="0.25">
      <c r="A15" s="36" t="s">
        <v>33</v>
      </c>
      <c r="B15" s="36" t="s">
        <v>32</v>
      </c>
      <c r="C15" s="11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32.562358276643991</v>
      </c>
      <c r="N15" s="13">
        <v>0</v>
      </c>
      <c r="O15" s="46">
        <f t="shared" ref="O15:O24" si="0">SUM(C15:N15)</f>
        <v>32.562358276643991</v>
      </c>
      <c r="P15" s="6">
        <v>0</v>
      </c>
      <c r="Q15" s="6">
        <f t="shared" ref="Q15:Q24" si="1">I34*$B$9</f>
        <v>32.562358276643991</v>
      </c>
    </row>
    <row r="16" spans="1:20" x14ac:dyDescent="0.25">
      <c r="A16" s="36" t="s">
        <v>35</v>
      </c>
      <c r="B16" s="36" t="s">
        <v>34</v>
      </c>
      <c r="C16" s="11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11.965986394557827</v>
      </c>
      <c r="L16" s="12">
        <v>0</v>
      </c>
      <c r="M16" s="12">
        <v>19.269841269841265</v>
      </c>
      <c r="N16" s="13">
        <v>0</v>
      </c>
      <c r="O16" s="46">
        <f t="shared" si="0"/>
        <v>31.235827664399093</v>
      </c>
      <c r="P16" s="6">
        <v>0</v>
      </c>
      <c r="Q16" s="6">
        <f t="shared" si="1"/>
        <v>31.235827664399093</v>
      </c>
    </row>
    <row r="17" spans="1:17" x14ac:dyDescent="0.25">
      <c r="A17" s="36" t="s">
        <v>37</v>
      </c>
      <c r="B17" s="36" t="s">
        <v>36</v>
      </c>
      <c r="C17" s="11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18.007936507936506</v>
      </c>
      <c r="K17" s="12">
        <v>51.034013605442169</v>
      </c>
      <c r="L17" s="12">
        <v>0</v>
      </c>
      <c r="M17" s="12">
        <v>0</v>
      </c>
      <c r="N17" s="13">
        <v>0</v>
      </c>
      <c r="O17" s="46">
        <f t="shared" si="0"/>
        <v>69.041950113378675</v>
      </c>
      <c r="P17" s="6">
        <v>0</v>
      </c>
      <c r="Q17" s="6">
        <f t="shared" si="1"/>
        <v>69.041950113378689</v>
      </c>
    </row>
    <row r="18" spans="1:17" x14ac:dyDescent="0.25">
      <c r="A18" s="36" t="s">
        <v>39</v>
      </c>
      <c r="B18" s="36" t="s">
        <v>38</v>
      </c>
      <c r="C18" s="11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12.92517006802721</v>
      </c>
      <c r="K18" s="12">
        <v>0</v>
      </c>
      <c r="L18" s="12">
        <v>0</v>
      </c>
      <c r="M18" s="12">
        <v>0</v>
      </c>
      <c r="N18" s="13">
        <v>0</v>
      </c>
      <c r="O18" s="46">
        <f t="shared" si="0"/>
        <v>12.92517006802721</v>
      </c>
      <c r="P18" s="6">
        <v>0</v>
      </c>
      <c r="Q18" s="6">
        <f t="shared" si="1"/>
        <v>12.92517006802721</v>
      </c>
    </row>
    <row r="19" spans="1:17" x14ac:dyDescent="0.25">
      <c r="A19" s="36" t="s">
        <v>41</v>
      </c>
      <c r="B19" s="36" t="s">
        <v>40</v>
      </c>
      <c r="C19" s="11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4.149659863945578</v>
      </c>
      <c r="K19" s="12">
        <v>0</v>
      </c>
      <c r="L19" s="12">
        <v>0</v>
      </c>
      <c r="M19" s="12">
        <v>0</v>
      </c>
      <c r="N19" s="13">
        <v>0</v>
      </c>
      <c r="O19" s="46">
        <f t="shared" si="0"/>
        <v>4.149659863945578</v>
      </c>
      <c r="P19" s="6">
        <v>0</v>
      </c>
      <c r="Q19" s="6">
        <f t="shared" si="1"/>
        <v>4.149659863945578</v>
      </c>
    </row>
    <row r="20" spans="1:17" x14ac:dyDescent="0.25">
      <c r="A20" s="36" t="s">
        <v>43</v>
      </c>
      <c r="B20" s="36" t="s">
        <v>42</v>
      </c>
      <c r="C20" s="11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19.854875283446717</v>
      </c>
      <c r="K20" s="12">
        <v>0</v>
      </c>
      <c r="L20" s="12">
        <v>0</v>
      </c>
      <c r="M20" s="12">
        <v>0</v>
      </c>
      <c r="N20" s="13">
        <v>0</v>
      </c>
      <c r="O20" s="46">
        <f t="shared" si="0"/>
        <v>19.854875283446717</v>
      </c>
      <c r="P20" s="6">
        <v>0</v>
      </c>
      <c r="Q20" s="6">
        <f t="shared" si="1"/>
        <v>207.93083900226759</v>
      </c>
    </row>
    <row r="21" spans="1:17" x14ac:dyDescent="0.25">
      <c r="A21" s="36" t="s">
        <v>45</v>
      </c>
      <c r="B21" s="36" t="s">
        <v>44</v>
      </c>
      <c r="C21" s="11">
        <v>0</v>
      </c>
      <c r="D21" s="12">
        <v>63</v>
      </c>
      <c r="E21" s="12">
        <v>0</v>
      </c>
      <c r="F21" s="12">
        <v>42.088435374149668</v>
      </c>
      <c r="G21" s="12">
        <v>0</v>
      </c>
      <c r="H21" s="12">
        <v>0</v>
      </c>
      <c r="I21" s="12">
        <v>63.000000000000007</v>
      </c>
      <c r="J21" s="12">
        <v>8.0623582766439856</v>
      </c>
      <c r="K21" s="12">
        <v>0</v>
      </c>
      <c r="L21" s="12">
        <v>59.448979591836725</v>
      </c>
      <c r="M21" s="12">
        <v>0</v>
      </c>
      <c r="N21" s="13">
        <v>63.000000000000007</v>
      </c>
      <c r="O21" s="46">
        <f t="shared" si="0"/>
        <v>298.59977324263036</v>
      </c>
      <c r="P21" s="6">
        <v>0</v>
      </c>
      <c r="Q21" s="6">
        <f t="shared" si="1"/>
        <v>298.59977324263036</v>
      </c>
    </row>
    <row r="22" spans="1:17" x14ac:dyDescent="0.25">
      <c r="A22" s="36" t="s">
        <v>47</v>
      </c>
      <c r="B22" s="36" t="s">
        <v>46</v>
      </c>
      <c r="C22" s="11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11.16780045351474</v>
      </c>
      <c r="N22" s="13">
        <v>0</v>
      </c>
      <c r="O22" s="46">
        <f t="shared" si="0"/>
        <v>11.16780045351474</v>
      </c>
      <c r="P22" s="6">
        <v>0</v>
      </c>
      <c r="Q22" s="6">
        <f t="shared" si="1"/>
        <v>11.16780045351474</v>
      </c>
    </row>
    <row r="23" spans="1:17" x14ac:dyDescent="0.25">
      <c r="A23" s="36" t="s">
        <v>49</v>
      </c>
      <c r="B23" s="36" t="s">
        <v>48</v>
      </c>
      <c r="C23" s="11">
        <v>0</v>
      </c>
      <c r="D23" s="12">
        <v>0</v>
      </c>
      <c r="E23" s="12">
        <v>35.909297052154201</v>
      </c>
      <c r="F23" s="12">
        <v>0</v>
      </c>
      <c r="G23" s="12">
        <v>62.999999999999986</v>
      </c>
      <c r="H23" s="12">
        <v>0</v>
      </c>
      <c r="I23" s="12">
        <v>0</v>
      </c>
      <c r="J23" s="12">
        <v>0</v>
      </c>
      <c r="K23" s="12">
        <v>0</v>
      </c>
      <c r="L23" s="12">
        <v>3.5510204081632679</v>
      </c>
      <c r="M23" s="12">
        <v>0</v>
      </c>
      <c r="N23" s="13">
        <v>0</v>
      </c>
      <c r="O23" s="46">
        <f t="shared" si="0"/>
        <v>102.46031746031746</v>
      </c>
      <c r="P23" s="6">
        <v>0</v>
      </c>
      <c r="Q23" s="6">
        <f t="shared" si="1"/>
        <v>102.46031746031747</v>
      </c>
    </row>
    <row r="24" spans="1:17" x14ac:dyDescent="0.25">
      <c r="A24" s="36" t="s">
        <v>51</v>
      </c>
      <c r="B24" s="36" t="s">
        <v>50</v>
      </c>
      <c r="C24" s="14">
        <v>62.999999999999986</v>
      </c>
      <c r="D24" s="15">
        <v>0</v>
      </c>
      <c r="E24" s="15">
        <v>27.090702947845813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6">
        <v>0</v>
      </c>
      <c r="O24" s="46">
        <f t="shared" si="0"/>
        <v>90.090702947845799</v>
      </c>
      <c r="P24" s="6">
        <v>0</v>
      </c>
      <c r="Q24" s="6">
        <f t="shared" si="1"/>
        <v>90.090702947845799</v>
      </c>
    </row>
    <row r="25" spans="1:17" x14ac:dyDescent="0.25">
      <c r="A25" s="23" t="s">
        <v>23</v>
      </c>
      <c r="B25" s="24"/>
      <c r="C25" s="47">
        <f>SUM(C14:C24)</f>
        <v>62.999999999999986</v>
      </c>
      <c r="D25" s="47">
        <f t="shared" ref="D25:N25" si="2">SUM(D14:D24)</f>
        <v>63</v>
      </c>
      <c r="E25" s="47">
        <f t="shared" si="2"/>
        <v>63.000000000000014</v>
      </c>
      <c r="F25" s="47">
        <f t="shared" si="2"/>
        <v>63.000000000000007</v>
      </c>
      <c r="G25" s="47">
        <f t="shared" si="2"/>
        <v>62.999999999999986</v>
      </c>
      <c r="H25" s="47">
        <f t="shared" si="2"/>
        <v>63</v>
      </c>
      <c r="I25" s="47">
        <f t="shared" si="2"/>
        <v>63.000000000000007</v>
      </c>
      <c r="J25" s="47">
        <f t="shared" si="2"/>
        <v>62.999999999999993</v>
      </c>
      <c r="K25" s="47">
        <f t="shared" si="2"/>
        <v>63</v>
      </c>
      <c r="L25" s="47">
        <f t="shared" si="2"/>
        <v>62.999999999999993</v>
      </c>
      <c r="M25" s="47">
        <f t="shared" si="2"/>
        <v>63</v>
      </c>
      <c r="N25" s="47">
        <f t="shared" si="2"/>
        <v>63.000000000000007</v>
      </c>
      <c r="O25" s="4"/>
      <c r="P25" s="4"/>
      <c r="Q25" s="4"/>
    </row>
    <row r="26" spans="1:17" x14ac:dyDescent="0.25">
      <c r="A26" s="23" t="s">
        <v>24</v>
      </c>
      <c r="B26" s="24"/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4"/>
      <c r="P26" s="4"/>
      <c r="Q26" s="4"/>
    </row>
    <row r="27" spans="1:17" x14ac:dyDescent="0.25">
      <c r="A27" s="23" t="s">
        <v>25</v>
      </c>
      <c r="B27" s="24"/>
      <c r="C27" s="5">
        <f>CEILING($B$7*$B$8*7,1)</f>
        <v>63</v>
      </c>
      <c r="D27" s="5">
        <f t="shared" ref="D27:N27" si="3">CEILING($B$7*$B$8*7,1)</f>
        <v>63</v>
      </c>
      <c r="E27" s="5">
        <f t="shared" si="3"/>
        <v>63</v>
      </c>
      <c r="F27" s="5">
        <f t="shared" si="3"/>
        <v>63</v>
      </c>
      <c r="G27" s="5">
        <f t="shared" si="3"/>
        <v>63</v>
      </c>
      <c r="H27" s="5">
        <f t="shared" si="3"/>
        <v>63</v>
      </c>
      <c r="I27" s="5">
        <f t="shared" si="3"/>
        <v>63</v>
      </c>
      <c r="J27" s="5">
        <f t="shared" si="3"/>
        <v>63</v>
      </c>
      <c r="K27" s="5">
        <f t="shared" si="3"/>
        <v>63</v>
      </c>
      <c r="L27" s="5">
        <f t="shared" si="3"/>
        <v>63</v>
      </c>
      <c r="M27" s="5">
        <f t="shared" si="3"/>
        <v>63</v>
      </c>
      <c r="N27" s="5">
        <f t="shared" si="3"/>
        <v>63</v>
      </c>
      <c r="O27" s="4"/>
      <c r="P27" s="4"/>
      <c r="Q27" s="4"/>
    </row>
    <row r="30" spans="1:17" ht="15.75" x14ac:dyDescent="0.25">
      <c r="A30" s="2" t="s">
        <v>54</v>
      </c>
    </row>
    <row r="31" spans="1:17" x14ac:dyDescent="0.25">
      <c r="A31" s="22" t="s">
        <v>13</v>
      </c>
      <c r="B31" s="22"/>
      <c r="C31" s="28" t="s">
        <v>19</v>
      </c>
      <c r="D31" s="29"/>
      <c r="E31" s="32" t="s">
        <v>20</v>
      </c>
      <c r="F31" s="33"/>
      <c r="G31" s="32" t="s">
        <v>53</v>
      </c>
      <c r="H31" s="33"/>
      <c r="I31" s="32" t="s">
        <v>56</v>
      </c>
      <c r="J31" s="33"/>
      <c r="K31" s="32" t="s">
        <v>52</v>
      </c>
      <c r="L31" s="33"/>
    </row>
    <row r="32" spans="1:17" x14ac:dyDescent="0.25">
      <c r="A32" s="1" t="s">
        <v>14</v>
      </c>
      <c r="B32" s="1" t="s">
        <v>15</v>
      </c>
      <c r="C32" s="30"/>
      <c r="D32" s="31"/>
      <c r="E32" s="34"/>
      <c r="F32" s="35"/>
      <c r="G32" s="34"/>
      <c r="H32" s="35"/>
      <c r="I32" s="34"/>
      <c r="J32" s="35"/>
      <c r="K32" s="34"/>
      <c r="L32" s="35"/>
    </row>
    <row r="33" spans="1:14" x14ac:dyDescent="0.25">
      <c r="A33" s="36" t="s">
        <v>31</v>
      </c>
      <c r="B33" s="36" t="s">
        <v>30</v>
      </c>
      <c r="C33" s="40">
        <v>0.99540600000000001</v>
      </c>
      <c r="D33" s="41">
        <v>0.28999999999999998</v>
      </c>
      <c r="E33" s="52">
        <v>218.58031930000001</v>
      </c>
      <c r="F33" s="53"/>
      <c r="G33" s="50">
        <v>14802</v>
      </c>
      <c r="H33" s="51"/>
      <c r="I33" s="48">
        <f>G33/7/4.5/7</f>
        <v>67.129251700680271</v>
      </c>
      <c r="J33" s="49"/>
      <c r="K33" s="48">
        <f>C33*E33*G33</f>
        <v>3220562.3397570364</v>
      </c>
      <c r="L33" s="49"/>
    </row>
    <row r="34" spans="1:14" x14ac:dyDescent="0.25">
      <c r="A34" s="36" t="s">
        <v>33</v>
      </c>
      <c r="B34" s="36" t="s">
        <v>32</v>
      </c>
      <c r="C34" s="40">
        <v>0.99738899999999997</v>
      </c>
      <c r="D34" s="41">
        <v>0.28999999999999998</v>
      </c>
      <c r="E34" s="52">
        <v>160.47472920000001</v>
      </c>
      <c r="F34" s="53">
        <v>160.47472920000001</v>
      </c>
      <c r="G34" s="50">
        <v>5744</v>
      </c>
      <c r="H34" s="51"/>
      <c r="I34" s="48">
        <f t="shared" ref="I34:I43" si="4">G34/7/4.5/7</f>
        <v>26.049886621315192</v>
      </c>
      <c r="J34" s="49"/>
      <c r="K34" s="48">
        <f>C34*E34*G34</f>
        <v>919360.11129374569</v>
      </c>
      <c r="L34" s="49"/>
    </row>
    <row r="35" spans="1:14" x14ac:dyDescent="0.25">
      <c r="A35" s="36" t="s">
        <v>35</v>
      </c>
      <c r="B35" s="36" t="s">
        <v>34</v>
      </c>
      <c r="C35" s="37">
        <v>0.998004</v>
      </c>
      <c r="D35" s="38">
        <v>0.56000000000000005</v>
      </c>
      <c r="E35" s="52">
        <v>225.1643942</v>
      </c>
      <c r="F35" s="53">
        <v>225.1643942</v>
      </c>
      <c r="G35" s="50">
        <v>5510</v>
      </c>
      <c r="H35" s="51"/>
      <c r="I35" s="48">
        <f t="shared" si="4"/>
        <v>24.988662131519273</v>
      </c>
      <c r="J35" s="49"/>
      <c r="K35" s="48">
        <f>C35*E35*G35</f>
        <v>1238179.4630411642</v>
      </c>
      <c r="L35" s="49"/>
    </row>
    <row r="36" spans="1:14" x14ac:dyDescent="0.25">
      <c r="A36" s="36" t="s">
        <v>37</v>
      </c>
      <c r="B36" s="36" t="s">
        <v>36</v>
      </c>
      <c r="C36" s="37">
        <v>0.99843999999999999</v>
      </c>
      <c r="D36" s="38">
        <v>0.5</v>
      </c>
      <c r="E36" s="52">
        <v>196.58486379999999</v>
      </c>
      <c r="F36" s="53">
        <v>196.58486379999999</v>
      </c>
      <c r="G36" s="50">
        <v>12179</v>
      </c>
      <c r="H36" s="51"/>
      <c r="I36" s="48">
        <f t="shared" si="4"/>
        <v>55.233560090702952</v>
      </c>
      <c r="J36" s="49"/>
      <c r="K36" s="48">
        <f>C36*E36*G36</f>
        <v>2390472.0932124965</v>
      </c>
      <c r="L36" s="49"/>
    </row>
    <row r="37" spans="1:14" x14ac:dyDescent="0.25">
      <c r="A37" s="36" t="s">
        <v>39</v>
      </c>
      <c r="B37" s="36" t="s">
        <v>38</v>
      </c>
      <c r="C37" s="37">
        <v>1</v>
      </c>
      <c r="D37" s="38"/>
      <c r="E37" s="52">
        <v>154.82539679999999</v>
      </c>
      <c r="F37" s="53">
        <v>154.82539679999999</v>
      </c>
      <c r="G37" s="50">
        <v>2280</v>
      </c>
      <c r="H37" s="51"/>
      <c r="I37" s="48">
        <f t="shared" si="4"/>
        <v>10.340136054421768</v>
      </c>
      <c r="J37" s="49"/>
      <c r="K37" s="48">
        <f>C37*E37*G37</f>
        <v>353001.90470399999</v>
      </c>
      <c r="L37" s="49"/>
    </row>
    <row r="38" spans="1:14" x14ac:dyDescent="0.25">
      <c r="A38" s="36" t="s">
        <v>41</v>
      </c>
      <c r="B38" s="36" t="s">
        <v>40</v>
      </c>
      <c r="C38" s="37">
        <v>0.99216899999999997</v>
      </c>
      <c r="D38" s="38"/>
      <c r="E38" s="52">
        <v>376.44780220000001</v>
      </c>
      <c r="F38" s="53">
        <v>376.44780220000001</v>
      </c>
      <c r="G38" s="50">
        <v>732</v>
      </c>
      <c r="H38" s="51"/>
      <c r="I38" s="48">
        <f t="shared" si="4"/>
        <v>3.3197278911564623</v>
      </c>
      <c r="J38" s="49"/>
      <c r="K38" s="48">
        <f>C38*E38*G38</f>
        <v>273401.88248543139</v>
      </c>
      <c r="L38" s="49"/>
    </row>
    <row r="39" spans="1:14" x14ac:dyDescent="0.25">
      <c r="A39" s="36" t="s">
        <v>43</v>
      </c>
      <c r="B39" s="36" t="s">
        <v>42</v>
      </c>
      <c r="C39" s="37">
        <v>0.99187499999999995</v>
      </c>
      <c r="D39" s="38">
        <v>0.24</v>
      </c>
      <c r="E39" s="52">
        <v>68.412543749999998</v>
      </c>
      <c r="F39" s="53">
        <v>68.412543749999998</v>
      </c>
      <c r="G39" s="50">
        <v>36679</v>
      </c>
      <c r="H39" s="51"/>
      <c r="I39" s="48">
        <f t="shared" si="4"/>
        <v>166.34467120181407</v>
      </c>
      <c r="J39" s="49"/>
      <c r="K39" s="48">
        <f>C39*E39*G39</f>
        <v>2488915.599707074</v>
      </c>
      <c r="L39" s="49"/>
    </row>
    <row r="40" spans="1:14" x14ac:dyDescent="0.25">
      <c r="A40" s="36" t="s">
        <v>45</v>
      </c>
      <c r="B40" s="36" t="s">
        <v>44</v>
      </c>
      <c r="C40" s="37">
        <v>0.99233000000000005</v>
      </c>
      <c r="D40" s="38"/>
      <c r="E40" s="52">
        <v>192.8453312</v>
      </c>
      <c r="F40" s="53">
        <v>192.8453312</v>
      </c>
      <c r="G40" s="50">
        <v>52673</v>
      </c>
      <c r="H40" s="51"/>
      <c r="I40" s="48">
        <f t="shared" si="4"/>
        <v>238.87981859410431</v>
      </c>
      <c r="J40" s="49"/>
      <c r="K40" s="48">
        <f>C40*E40*G40</f>
        <v>10079832.248158218</v>
      </c>
      <c r="L40" s="49"/>
    </row>
    <row r="41" spans="1:14" x14ac:dyDescent="0.25">
      <c r="A41" s="36" t="s">
        <v>47</v>
      </c>
      <c r="B41" s="36" t="s">
        <v>46</v>
      </c>
      <c r="C41" s="37">
        <v>0.99847699999999995</v>
      </c>
      <c r="D41" s="38"/>
      <c r="E41" s="52">
        <v>290.82730459999999</v>
      </c>
      <c r="F41" s="53">
        <v>290.82730459999999</v>
      </c>
      <c r="G41" s="50">
        <v>1970</v>
      </c>
      <c r="H41" s="51"/>
      <c r="I41" s="48">
        <f t="shared" si="4"/>
        <v>8.9342403628117921</v>
      </c>
      <c r="J41" s="49"/>
      <c r="K41" s="48">
        <f>C41*E41*G41</f>
        <v>572057.21799173555</v>
      </c>
      <c r="L41" s="49"/>
    </row>
    <row r="42" spans="1:14" x14ac:dyDescent="0.25">
      <c r="A42" s="36" t="s">
        <v>49</v>
      </c>
      <c r="B42" s="36" t="s">
        <v>48</v>
      </c>
      <c r="C42" s="37">
        <v>0.99719999999999998</v>
      </c>
      <c r="D42" s="38">
        <v>0.12</v>
      </c>
      <c r="E42" s="52">
        <v>169.60064180000001</v>
      </c>
      <c r="F42" s="53">
        <v>169.60064180000001</v>
      </c>
      <c r="G42" s="50">
        <v>18074</v>
      </c>
      <c r="H42" s="51"/>
      <c r="I42" s="48">
        <f t="shared" si="4"/>
        <v>81.968253968253975</v>
      </c>
      <c r="J42" s="49"/>
      <c r="K42" s="48">
        <f>C42*E42*G42</f>
        <v>3056778.9862934989</v>
      </c>
      <c r="L42" s="49"/>
    </row>
    <row r="43" spans="1:14" x14ac:dyDescent="0.25">
      <c r="A43" s="36" t="s">
        <v>51</v>
      </c>
      <c r="B43" s="36" t="s">
        <v>50</v>
      </c>
      <c r="C43" s="37">
        <v>0.97892000000000001</v>
      </c>
      <c r="D43" s="38">
        <v>0.95000000000000007</v>
      </c>
      <c r="E43" s="52">
        <v>144.15254239999999</v>
      </c>
      <c r="F43" s="53">
        <v>144.15254239999999</v>
      </c>
      <c r="G43" s="50">
        <v>15892</v>
      </c>
      <c r="H43" s="51"/>
      <c r="I43" s="48">
        <f t="shared" si="4"/>
        <v>72.072562358276642</v>
      </c>
      <c r="J43" s="49"/>
      <c r="K43" s="48">
        <f>C43*E43*G43</f>
        <v>2242580.6177642574</v>
      </c>
      <c r="L43" s="49"/>
    </row>
    <row r="44" spans="1:14" x14ac:dyDescent="0.25">
      <c r="G44" s="39"/>
      <c r="H44" s="39"/>
      <c r="K44" s="39"/>
      <c r="L44" s="39"/>
    </row>
    <row r="46" spans="1:14" ht="15.75" x14ac:dyDescent="0.25">
      <c r="A46" s="2" t="s">
        <v>22</v>
      </c>
    </row>
    <row r="47" spans="1:14" x14ac:dyDescent="0.25">
      <c r="A47" s="22" t="s">
        <v>13</v>
      </c>
      <c r="B47" s="22"/>
      <c r="C47" s="22" t="s">
        <v>0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</row>
    <row r="48" spans="1:14" x14ac:dyDescent="0.25">
      <c r="A48" s="1" t="s">
        <v>14</v>
      </c>
      <c r="B48" s="1" t="s">
        <v>15</v>
      </c>
      <c r="C48" s="1" t="s">
        <v>1</v>
      </c>
      <c r="D48" s="1" t="s">
        <v>2</v>
      </c>
      <c r="E48" s="1" t="s">
        <v>3</v>
      </c>
      <c r="F48" s="1" t="s">
        <v>4</v>
      </c>
      <c r="G48" s="1" t="s">
        <v>5</v>
      </c>
      <c r="H48" s="1" t="s">
        <v>6</v>
      </c>
      <c r="I48" s="1" t="s">
        <v>7</v>
      </c>
      <c r="J48" s="1" t="s">
        <v>8</v>
      </c>
      <c r="K48" s="1" t="s">
        <v>9</v>
      </c>
      <c r="L48" s="1" t="s">
        <v>10</v>
      </c>
      <c r="M48" s="1" t="s">
        <v>11</v>
      </c>
      <c r="N48" s="1" t="s">
        <v>12</v>
      </c>
    </row>
    <row r="49" spans="1:14" x14ac:dyDescent="0.25">
      <c r="A49" s="36" t="s">
        <v>31</v>
      </c>
      <c r="B49" s="36" t="s">
        <v>30</v>
      </c>
      <c r="C49" s="7">
        <v>1</v>
      </c>
      <c r="D49" s="7">
        <v>1</v>
      </c>
      <c r="E49" s="7">
        <v>1</v>
      </c>
      <c r="F49" s="7">
        <v>1</v>
      </c>
      <c r="G49" s="7">
        <v>1</v>
      </c>
      <c r="H49" s="7">
        <v>1</v>
      </c>
      <c r="I49" s="7">
        <v>1</v>
      </c>
      <c r="J49" s="7">
        <v>1</v>
      </c>
      <c r="K49" s="7">
        <v>1</v>
      </c>
      <c r="L49" s="7">
        <v>1</v>
      </c>
      <c r="M49" s="7">
        <v>1</v>
      </c>
      <c r="N49" s="7">
        <v>1</v>
      </c>
    </row>
    <row r="50" spans="1:14" x14ac:dyDescent="0.25">
      <c r="A50" s="36" t="s">
        <v>33</v>
      </c>
      <c r="B50" s="36" t="s">
        <v>32</v>
      </c>
      <c r="C50" s="7">
        <v>1</v>
      </c>
      <c r="D50" s="7">
        <v>1</v>
      </c>
      <c r="E50" s="7">
        <v>1</v>
      </c>
      <c r="F50" s="7">
        <v>1</v>
      </c>
      <c r="G50" s="7">
        <v>1</v>
      </c>
      <c r="H50" s="7">
        <v>1</v>
      </c>
      <c r="I50" s="7">
        <v>1</v>
      </c>
      <c r="J50" s="7">
        <v>1</v>
      </c>
      <c r="K50" s="7">
        <v>1</v>
      </c>
      <c r="L50" s="7">
        <v>1</v>
      </c>
      <c r="M50" s="7">
        <v>1</v>
      </c>
      <c r="N50" s="7">
        <v>1</v>
      </c>
    </row>
    <row r="51" spans="1:14" x14ac:dyDescent="0.25">
      <c r="A51" s="36" t="s">
        <v>35</v>
      </c>
      <c r="B51" s="36" t="s">
        <v>34</v>
      </c>
      <c r="C51" s="7">
        <v>1</v>
      </c>
      <c r="D51" s="7">
        <v>1</v>
      </c>
      <c r="E51" s="7">
        <v>1</v>
      </c>
      <c r="F51" s="7">
        <v>1</v>
      </c>
      <c r="G51" s="7">
        <v>1</v>
      </c>
      <c r="H51" s="7">
        <v>1</v>
      </c>
      <c r="I51" s="7">
        <v>1</v>
      </c>
      <c r="J51" s="7">
        <v>1</v>
      </c>
      <c r="K51" s="7">
        <v>1</v>
      </c>
      <c r="L51" s="7">
        <v>1</v>
      </c>
      <c r="M51" s="7">
        <v>1</v>
      </c>
      <c r="N51" s="7">
        <v>1</v>
      </c>
    </row>
    <row r="52" spans="1:14" x14ac:dyDescent="0.25">
      <c r="A52" s="36" t="s">
        <v>37</v>
      </c>
      <c r="B52" s="36" t="s">
        <v>36</v>
      </c>
      <c r="C52" s="7">
        <v>1</v>
      </c>
      <c r="D52" s="7">
        <v>1</v>
      </c>
      <c r="E52" s="7">
        <v>1</v>
      </c>
      <c r="F52" s="7">
        <v>1</v>
      </c>
      <c r="G52" s="7">
        <v>1</v>
      </c>
      <c r="H52" s="7">
        <v>1</v>
      </c>
      <c r="I52" s="7">
        <v>1</v>
      </c>
      <c r="J52" s="7">
        <v>1</v>
      </c>
      <c r="K52" s="7">
        <v>1</v>
      </c>
      <c r="L52" s="7">
        <v>1</v>
      </c>
      <c r="M52" s="7">
        <v>1</v>
      </c>
      <c r="N52" s="7">
        <v>1</v>
      </c>
    </row>
    <row r="53" spans="1:14" x14ac:dyDescent="0.25">
      <c r="A53" s="36" t="s">
        <v>39</v>
      </c>
      <c r="B53" s="36" t="s">
        <v>38</v>
      </c>
      <c r="C53" s="7">
        <v>1</v>
      </c>
      <c r="D53" s="7">
        <v>1</v>
      </c>
      <c r="E53" s="7">
        <v>1</v>
      </c>
      <c r="F53" s="7">
        <v>1</v>
      </c>
      <c r="G53" s="7">
        <v>1</v>
      </c>
      <c r="H53" s="7">
        <v>1</v>
      </c>
      <c r="I53" s="7">
        <v>1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</row>
    <row r="54" spans="1:14" x14ac:dyDescent="0.25">
      <c r="A54" s="36" t="s">
        <v>41</v>
      </c>
      <c r="B54" s="36" t="s">
        <v>40</v>
      </c>
      <c r="C54" s="7">
        <v>1</v>
      </c>
      <c r="D54" s="7">
        <v>1</v>
      </c>
      <c r="E54" s="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</row>
    <row r="55" spans="1:14" x14ac:dyDescent="0.25">
      <c r="A55" s="36" t="s">
        <v>43</v>
      </c>
      <c r="B55" s="36" t="s">
        <v>42</v>
      </c>
      <c r="C55" s="7">
        <v>1</v>
      </c>
      <c r="D55" s="7">
        <v>1</v>
      </c>
      <c r="E55" s="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</row>
    <row r="56" spans="1:14" x14ac:dyDescent="0.25">
      <c r="A56" s="36" t="s">
        <v>45</v>
      </c>
      <c r="B56" s="36" t="s">
        <v>44</v>
      </c>
      <c r="C56" s="7">
        <v>1</v>
      </c>
      <c r="D56" s="7">
        <v>1</v>
      </c>
      <c r="E56" s="7">
        <v>1</v>
      </c>
      <c r="F56" s="7">
        <v>1</v>
      </c>
      <c r="G56" s="7">
        <v>1</v>
      </c>
      <c r="H56" s="7">
        <v>1</v>
      </c>
      <c r="I56" s="7">
        <v>1</v>
      </c>
      <c r="J56" s="7">
        <v>1</v>
      </c>
      <c r="K56" s="7">
        <v>1</v>
      </c>
      <c r="L56" s="7">
        <v>1</v>
      </c>
      <c r="M56" s="7">
        <v>1</v>
      </c>
      <c r="N56" s="7">
        <v>1</v>
      </c>
    </row>
    <row r="57" spans="1:14" x14ac:dyDescent="0.25">
      <c r="A57" s="36" t="s">
        <v>47</v>
      </c>
      <c r="B57" s="36" t="s">
        <v>46</v>
      </c>
      <c r="C57" s="7">
        <v>1</v>
      </c>
      <c r="D57" s="7">
        <v>1</v>
      </c>
      <c r="E57" s="7">
        <v>1</v>
      </c>
      <c r="F57" s="7">
        <v>1</v>
      </c>
      <c r="G57" s="7">
        <v>1</v>
      </c>
      <c r="H57" s="7">
        <v>1</v>
      </c>
      <c r="I57" s="7">
        <v>1</v>
      </c>
      <c r="J57" s="7">
        <v>1</v>
      </c>
      <c r="K57" s="7">
        <v>1</v>
      </c>
      <c r="L57" s="7">
        <v>1</v>
      </c>
      <c r="M57" s="7">
        <v>1</v>
      </c>
      <c r="N57" s="7">
        <v>1</v>
      </c>
    </row>
    <row r="58" spans="1:14" x14ac:dyDescent="0.25">
      <c r="A58" s="36" t="s">
        <v>49</v>
      </c>
      <c r="B58" s="36" t="s">
        <v>48</v>
      </c>
      <c r="C58" s="7">
        <v>1</v>
      </c>
      <c r="D58" s="7">
        <v>1</v>
      </c>
      <c r="E58" s="7">
        <v>1</v>
      </c>
      <c r="F58" s="7">
        <v>1</v>
      </c>
      <c r="G58" s="7">
        <v>1</v>
      </c>
      <c r="H58" s="7">
        <v>1</v>
      </c>
      <c r="I58" s="7">
        <v>1</v>
      </c>
      <c r="J58" s="7">
        <v>1</v>
      </c>
      <c r="K58" s="7">
        <v>1</v>
      </c>
      <c r="L58" s="7">
        <v>1</v>
      </c>
      <c r="M58" s="7">
        <v>1</v>
      </c>
      <c r="N58" s="7">
        <v>1</v>
      </c>
    </row>
    <row r="59" spans="1:14" x14ac:dyDescent="0.25">
      <c r="A59" s="36" t="s">
        <v>51</v>
      </c>
      <c r="B59" s="36" t="s">
        <v>50</v>
      </c>
      <c r="C59" s="7">
        <v>1</v>
      </c>
      <c r="D59" s="7">
        <v>1</v>
      </c>
      <c r="E59" s="7">
        <v>1</v>
      </c>
      <c r="F59" s="7">
        <v>1</v>
      </c>
      <c r="G59" s="7">
        <v>1</v>
      </c>
      <c r="H59" s="7">
        <v>1</v>
      </c>
      <c r="I59" s="7">
        <v>1</v>
      </c>
      <c r="J59" s="7">
        <v>1</v>
      </c>
      <c r="K59" s="7">
        <v>1</v>
      </c>
      <c r="L59" s="7">
        <v>1</v>
      </c>
      <c r="M59" s="7">
        <v>1</v>
      </c>
      <c r="N59" s="7">
        <v>1</v>
      </c>
    </row>
    <row r="63" spans="1:14" ht="15.75" x14ac:dyDescent="0.25">
      <c r="A63" s="17" t="s">
        <v>28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</row>
    <row r="64" spans="1:14" x14ac:dyDescent="0.25">
      <c r="A64" s="21" t="s">
        <v>13</v>
      </c>
      <c r="B64" s="21"/>
      <c r="C64" s="21" t="s">
        <v>0</v>
      </c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</row>
    <row r="65" spans="1:14" x14ac:dyDescent="0.25">
      <c r="A65" s="19" t="s">
        <v>14</v>
      </c>
      <c r="B65" s="19" t="s">
        <v>15</v>
      </c>
      <c r="C65" s="19" t="s">
        <v>1</v>
      </c>
      <c r="D65" s="19" t="s">
        <v>2</v>
      </c>
      <c r="E65" s="19" t="s">
        <v>3</v>
      </c>
      <c r="F65" s="19" t="s">
        <v>4</v>
      </c>
      <c r="G65" s="19" t="s">
        <v>5</v>
      </c>
      <c r="H65" s="19" t="s">
        <v>6</v>
      </c>
      <c r="I65" s="19" t="s">
        <v>7</v>
      </c>
      <c r="J65" s="19" t="s">
        <v>8</v>
      </c>
      <c r="K65" s="19" t="s">
        <v>9</v>
      </c>
      <c r="L65" s="19" t="s">
        <v>10</v>
      </c>
      <c r="M65" s="19" t="s">
        <v>11</v>
      </c>
      <c r="N65" s="19" t="s">
        <v>12</v>
      </c>
    </row>
    <row r="66" spans="1:14" x14ac:dyDescent="0.25">
      <c r="A66" s="36" t="s">
        <v>31</v>
      </c>
      <c r="B66" s="36" t="s">
        <v>30</v>
      </c>
      <c r="C66" s="20">
        <f>C49*$E33*$C33</f>
        <v>217.57616131313583</v>
      </c>
      <c r="D66" s="20">
        <f t="shared" ref="D66:N66" si="5">D49*$E33*$C33</f>
        <v>217.57616131313583</v>
      </c>
      <c r="E66" s="20">
        <f t="shared" si="5"/>
        <v>217.57616131313583</v>
      </c>
      <c r="F66" s="20">
        <f t="shared" si="5"/>
        <v>217.57616131313583</v>
      </c>
      <c r="G66" s="20">
        <f t="shared" si="5"/>
        <v>217.57616131313583</v>
      </c>
      <c r="H66" s="20">
        <f t="shared" si="5"/>
        <v>217.57616131313583</v>
      </c>
      <c r="I66" s="20">
        <f t="shared" si="5"/>
        <v>217.57616131313583</v>
      </c>
      <c r="J66" s="20">
        <f t="shared" si="5"/>
        <v>217.57616131313583</v>
      </c>
      <c r="K66" s="20">
        <f t="shared" si="5"/>
        <v>217.57616131313583</v>
      </c>
      <c r="L66" s="20">
        <f t="shared" si="5"/>
        <v>217.57616131313583</v>
      </c>
      <c r="M66" s="20">
        <f t="shared" si="5"/>
        <v>217.57616131313583</v>
      </c>
      <c r="N66" s="20">
        <f t="shared" si="5"/>
        <v>217.57616131313583</v>
      </c>
    </row>
    <row r="67" spans="1:14" x14ac:dyDescent="0.25">
      <c r="A67" s="36" t="s">
        <v>33</v>
      </c>
      <c r="B67" s="36" t="s">
        <v>32</v>
      </c>
      <c r="C67" s="20">
        <f t="shared" ref="C67:N67" si="6">C50*$E34*$C34</f>
        <v>160.0557296820588</v>
      </c>
      <c r="D67" s="20">
        <f t="shared" si="6"/>
        <v>160.0557296820588</v>
      </c>
      <c r="E67" s="20">
        <f t="shared" si="6"/>
        <v>160.0557296820588</v>
      </c>
      <c r="F67" s="20">
        <f t="shared" si="6"/>
        <v>160.0557296820588</v>
      </c>
      <c r="G67" s="20">
        <f t="shared" si="6"/>
        <v>160.0557296820588</v>
      </c>
      <c r="H67" s="20">
        <f t="shared" si="6"/>
        <v>160.0557296820588</v>
      </c>
      <c r="I67" s="20">
        <f t="shared" si="6"/>
        <v>160.0557296820588</v>
      </c>
      <c r="J67" s="20">
        <f t="shared" si="6"/>
        <v>160.0557296820588</v>
      </c>
      <c r="K67" s="20">
        <f t="shared" si="6"/>
        <v>160.0557296820588</v>
      </c>
      <c r="L67" s="20">
        <f t="shared" si="6"/>
        <v>160.0557296820588</v>
      </c>
      <c r="M67" s="20">
        <f t="shared" si="6"/>
        <v>160.0557296820588</v>
      </c>
      <c r="N67" s="20">
        <f t="shared" si="6"/>
        <v>160.0557296820588</v>
      </c>
    </row>
    <row r="68" spans="1:14" x14ac:dyDescent="0.25">
      <c r="A68" s="36" t="s">
        <v>35</v>
      </c>
      <c r="B68" s="36" t="s">
        <v>34</v>
      </c>
      <c r="C68" s="20">
        <f t="shared" ref="C68:N68" si="7">C51*$E35*$C35</f>
        <v>224.7149660691768</v>
      </c>
      <c r="D68" s="20">
        <f t="shared" si="7"/>
        <v>224.7149660691768</v>
      </c>
      <c r="E68" s="20">
        <f t="shared" si="7"/>
        <v>224.7149660691768</v>
      </c>
      <c r="F68" s="20">
        <f t="shared" si="7"/>
        <v>224.7149660691768</v>
      </c>
      <c r="G68" s="20">
        <f t="shared" si="7"/>
        <v>224.7149660691768</v>
      </c>
      <c r="H68" s="20">
        <f t="shared" si="7"/>
        <v>224.7149660691768</v>
      </c>
      <c r="I68" s="20">
        <f t="shared" si="7"/>
        <v>224.7149660691768</v>
      </c>
      <c r="J68" s="20">
        <f t="shared" si="7"/>
        <v>224.7149660691768</v>
      </c>
      <c r="K68" s="20">
        <f t="shared" si="7"/>
        <v>224.7149660691768</v>
      </c>
      <c r="L68" s="20">
        <f t="shared" si="7"/>
        <v>224.7149660691768</v>
      </c>
      <c r="M68" s="20">
        <f t="shared" si="7"/>
        <v>224.7149660691768</v>
      </c>
      <c r="N68" s="20">
        <f t="shared" si="7"/>
        <v>224.7149660691768</v>
      </c>
    </row>
    <row r="69" spans="1:14" x14ac:dyDescent="0.25">
      <c r="A69" s="36" t="s">
        <v>37</v>
      </c>
      <c r="B69" s="36" t="s">
        <v>36</v>
      </c>
      <c r="C69" s="20">
        <f t="shared" ref="C69:N69" si="8">C52*$E36*$C36</f>
        <v>196.27819141247198</v>
      </c>
      <c r="D69" s="20">
        <f t="shared" si="8"/>
        <v>196.27819141247198</v>
      </c>
      <c r="E69" s="20">
        <f t="shared" si="8"/>
        <v>196.27819141247198</v>
      </c>
      <c r="F69" s="20">
        <f t="shared" si="8"/>
        <v>196.27819141247198</v>
      </c>
      <c r="G69" s="20">
        <f t="shared" si="8"/>
        <v>196.27819141247198</v>
      </c>
      <c r="H69" s="20">
        <f t="shared" si="8"/>
        <v>196.27819141247198</v>
      </c>
      <c r="I69" s="20">
        <f t="shared" si="8"/>
        <v>196.27819141247198</v>
      </c>
      <c r="J69" s="20">
        <f t="shared" si="8"/>
        <v>196.27819141247198</v>
      </c>
      <c r="K69" s="20">
        <f t="shared" si="8"/>
        <v>196.27819141247198</v>
      </c>
      <c r="L69" s="20">
        <f t="shared" si="8"/>
        <v>196.27819141247198</v>
      </c>
      <c r="M69" s="20">
        <f t="shared" si="8"/>
        <v>196.27819141247198</v>
      </c>
      <c r="N69" s="20">
        <f t="shared" si="8"/>
        <v>196.27819141247198</v>
      </c>
    </row>
    <row r="70" spans="1:14" x14ac:dyDescent="0.25">
      <c r="A70" s="36" t="s">
        <v>39</v>
      </c>
      <c r="B70" s="36" t="s">
        <v>38</v>
      </c>
      <c r="C70" s="20">
        <f t="shared" ref="C70:N70" si="9">C53*$E37*$C37</f>
        <v>154.82539679999999</v>
      </c>
      <c r="D70" s="20">
        <f t="shared" si="9"/>
        <v>154.82539679999999</v>
      </c>
      <c r="E70" s="20">
        <f t="shared" si="9"/>
        <v>154.82539679999999</v>
      </c>
      <c r="F70" s="20">
        <f t="shared" si="9"/>
        <v>154.82539679999999</v>
      </c>
      <c r="G70" s="20">
        <f t="shared" si="9"/>
        <v>154.82539679999999</v>
      </c>
      <c r="H70" s="20">
        <f t="shared" si="9"/>
        <v>154.82539679999999</v>
      </c>
      <c r="I70" s="20">
        <f t="shared" si="9"/>
        <v>154.82539679999999</v>
      </c>
      <c r="J70" s="20">
        <f t="shared" si="9"/>
        <v>154.82539679999999</v>
      </c>
      <c r="K70" s="20">
        <f t="shared" si="9"/>
        <v>154.82539679999999</v>
      </c>
      <c r="L70" s="20">
        <f t="shared" si="9"/>
        <v>154.82539679999999</v>
      </c>
      <c r="M70" s="20">
        <f t="shared" si="9"/>
        <v>154.82539679999999</v>
      </c>
      <c r="N70" s="20">
        <f t="shared" si="9"/>
        <v>154.82539679999999</v>
      </c>
    </row>
    <row r="71" spans="1:14" x14ac:dyDescent="0.25">
      <c r="A71" s="36" t="s">
        <v>41</v>
      </c>
      <c r="B71" s="36" t="s">
        <v>40</v>
      </c>
      <c r="C71" s="20">
        <f t="shared" ref="C71:N71" si="10">C54*$E38*$C38</f>
        <v>373.49983946097183</v>
      </c>
      <c r="D71" s="20">
        <f t="shared" si="10"/>
        <v>373.49983946097183</v>
      </c>
      <c r="E71" s="20">
        <f t="shared" si="10"/>
        <v>373.49983946097183</v>
      </c>
      <c r="F71" s="20">
        <f t="shared" si="10"/>
        <v>373.49983946097183</v>
      </c>
      <c r="G71" s="20">
        <f t="shared" si="10"/>
        <v>373.49983946097183</v>
      </c>
      <c r="H71" s="20">
        <f t="shared" si="10"/>
        <v>373.49983946097183</v>
      </c>
      <c r="I71" s="20">
        <f t="shared" si="10"/>
        <v>373.49983946097183</v>
      </c>
      <c r="J71" s="20">
        <f t="shared" si="10"/>
        <v>373.49983946097183</v>
      </c>
      <c r="K71" s="20">
        <f t="shared" si="10"/>
        <v>373.49983946097183</v>
      </c>
      <c r="L71" s="20">
        <f t="shared" si="10"/>
        <v>373.49983946097183</v>
      </c>
      <c r="M71" s="20">
        <f t="shared" si="10"/>
        <v>373.49983946097183</v>
      </c>
      <c r="N71" s="20">
        <f t="shared" si="10"/>
        <v>373.49983946097183</v>
      </c>
    </row>
    <row r="72" spans="1:14" x14ac:dyDescent="0.25">
      <c r="A72" s="36" t="s">
        <v>43</v>
      </c>
      <c r="B72" s="36" t="s">
        <v>42</v>
      </c>
      <c r="C72" s="20">
        <f t="shared" ref="C72:N72" si="11">C55*$E39*$C39</f>
        <v>67.856691832031245</v>
      </c>
      <c r="D72" s="20">
        <f t="shared" si="11"/>
        <v>67.856691832031245</v>
      </c>
      <c r="E72" s="20">
        <f t="shared" si="11"/>
        <v>67.856691832031245</v>
      </c>
      <c r="F72" s="20">
        <f t="shared" si="11"/>
        <v>67.856691832031245</v>
      </c>
      <c r="G72" s="20">
        <f t="shared" si="11"/>
        <v>67.856691832031245</v>
      </c>
      <c r="H72" s="20">
        <f t="shared" si="11"/>
        <v>67.856691832031245</v>
      </c>
      <c r="I72" s="20">
        <f t="shared" si="11"/>
        <v>67.856691832031245</v>
      </c>
      <c r="J72" s="20">
        <f t="shared" si="11"/>
        <v>67.856691832031245</v>
      </c>
      <c r="K72" s="20">
        <f t="shared" si="11"/>
        <v>67.856691832031245</v>
      </c>
      <c r="L72" s="20">
        <f t="shared" si="11"/>
        <v>67.856691832031245</v>
      </c>
      <c r="M72" s="20">
        <f t="shared" si="11"/>
        <v>67.856691832031245</v>
      </c>
      <c r="N72" s="20">
        <f t="shared" si="11"/>
        <v>67.856691832031245</v>
      </c>
    </row>
    <row r="73" spans="1:14" x14ac:dyDescent="0.25">
      <c r="A73" s="36" t="s">
        <v>45</v>
      </c>
      <c r="B73" s="36" t="s">
        <v>44</v>
      </c>
      <c r="C73" s="20">
        <f t="shared" ref="C73:N73" si="12">C56*$E40*$C40</f>
        <v>191.36620750969601</v>
      </c>
      <c r="D73" s="20">
        <f t="shared" si="12"/>
        <v>191.36620750969601</v>
      </c>
      <c r="E73" s="20">
        <f t="shared" si="12"/>
        <v>191.36620750969601</v>
      </c>
      <c r="F73" s="20">
        <f t="shared" si="12"/>
        <v>191.36620750969601</v>
      </c>
      <c r="G73" s="20">
        <f t="shared" si="12"/>
        <v>191.36620750969601</v>
      </c>
      <c r="H73" s="20">
        <f t="shared" si="12"/>
        <v>191.36620750969601</v>
      </c>
      <c r="I73" s="20">
        <f t="shared" si="12"/>
        <v>191.36620750969601</v>
      </c>
      <c r="J73" s="20">
        <f t="shared" si="12"/>
        <v>191.36620750969601</v>
      </c>
      <c r="K73" s="20">
        <f t="shared" si="12"/>
        <v>191.36620750969601</v>
      </c>
      <c r="L73" s="20">
        <f t="shared" si="12"/>
        <v>191.36620750969601</v>
      </c>
      <c r="M73" s="20">
        <f t="shared" si="12"/>
        <v>191.36620750969601</v>
      </c>
      <c r="N73" s="20">
        <f t="shared" si="12"/>
        <v>191.36620750969601</v>
      </c>
    </row>
    <row r="74" spans="1:14" x14ac:dyDescent="0.25">
      <c r="A74" s="36" t="s">
        <v>47</v>
      </c>
      <c r="B74" s="36" t="s">
        <v>46</v>
      </c>
      <c r="C74" s="20">
        <f t="shared" ref="C74:N74" si="13">C57*$E41*$C41</f>
        <v>290.3843746150942</v>
      </c>
      <c r="D74" s="20">
        <f t="shared" si="13"/>
        <v>290.3843746150942</v>
      </c>
      <c r="E74" s="20">
        <f t="shared" si="13"/>
        <v>290.3843746150942</v>
      </c>
      <c r="F74" s="20">
        <f t="shared" si="13"/>
        <v>290.3843746150942</v>
      </c>
      <c r="G74" s="20">
        <f t="shared" si="13"/>
        <v>290.3843746150942</v>
      </c>
      <c r="H74" s="20">
        <f t="shared" si="13"/>
        <v>290.3843746150942</v>
      </c>
      <c r="I74" s="20">
        <f t="shared" si="13"/>
        <v>290.3843746150942</v>
      </c>
      <c r="J74" s="20">
        <f t="shared" si="13"/>
        <v>290.3843746150942</v>
      </c>
      <c r="K74" s="20">
        <f t="shared" si="13"/>
        <v>290.3843746150942</v>
      </c>
      <c r="L74" s="20">
        <f t="shared" si="13"/>
        <v>290.3843746150942</v>
      </c>
      <c r="M74" s="20">
        <f t="shared" si="13"/>
        <v>290.3843746150942</v>
      </c>
      <c r="N74" s="20">
        <f t="shared" si="13"/>
        <v>290.3843746150942</v>
      </c>
    </row>
    <row r="75" spans="1:14" x14ac:dyDescent="0.25">
      <c r="A75" s="36" t="s">
        <v>49</v>
      </c>
      <c r="B75" s="36" t="s">
        <v>48</v>
      </c>
      <c r="C75" s="20">
        <f t="shared" ref="C75:N75" si="14">C58*$E42*$C42</f>
        <v>169.12576000295999</v>
      </c>
      <c r="D75" s="20">
        <f t="shared" si="14"/>
        <v>169.12576000295999</v>
      </c>
      <c r="E75" s="20">
        <f t="shared" si="14"/>
        <v>169.12576000295999</v>
      </c>
      <c r="F75" s="20">
        <f t="shared" si="14"/>
        <v>169.12576000295999</v>
      </c>
      <c r="G75" s="20">
        <f t="shared" si="14"/>
        <v>169.12576000295999</v>
      </c>
      <c r="H75" s="20">
        <f t="shared" si="14"/>
        <v>169.12576000295999</v>
      </c>
      <c r="I75" s="20">
        <f t="shared" si="14"/>
        <v>169.12576000295999</v>
      </c>
      <c r="J75" s="20">
        <f t="shared" si="14"/>
        <v>169.12576000295999</v>
      </c>
      <c r="K75" s="20">
        <f t="shared" si="14"/>
        <v>169.12576000295999</v>
      </c>
      <c r="L75" s="20">
        <f t="shared" si="14"/>
        <v>169.12576000295999</v>
      </c>
      <c r="M75" s="20">
        <f t="shared" si="14"/>
        <v>169.12576000295999</v>
      </c>
      <c r="N75" s="20">
        <f t="shared" si="14"/>
        <v>169.12576000295999</v>
      </c>
    </row>
    <row r="76" spans="1:14" x14ac:dyDescent="0.25">
      <c r="A76" s="36" t="s">
        <v>51</v>
      </c>
      <c r="B76" s="36" t="s">
        <v>50</v>
      </c>
      <c r="C76" s="20">
        <f t="shared" ref="C76:N76" si="15">C59*$E43*$C43</f>
        <v>141.11380680620798</v>
      </c>
      <c r="D76" s="20">
        <f t="shared" si="15"/>
        <v>141.11380680620798</v>
      </c>
      <c r="E76" s="20">
        <f t="shared" si="15"/>
        <v>141.11380680620798</v>
      </c>
      <c r="F76" s="20">
        <f t="shared" si="15"/>
        <v>141.11380680620798</v>
      </c>
      <c r="G76" s="20">
        <f t="shared" si="15"/>
        <v>141.11380680620798</v>
      </c>
      <c r="H76" s="20">
        <f t="shared" si="15"/>
        <v>141.11380680620798</v>
      </c>
      <c r="I76" s="20">
        <f t="shared" si="15"/>
        <v>141.11380680620798</v>
      </c>
      <c r="J76" s="20">
        <f t="shared" si="15"/>
        <v>141.11380680620798</v>
      </c>
      <c r="K76" s="20">
        <f t="shared" si="15"/>
        <v>141.11380680620798</v>
      </c>
      <c r="L76" s="20">
        <f t="shared" si="15"/>
        <v>141.11380680620798</v>
      </c>
      <c r="M76" s="20">
        <f t="shared" si="15"/>
        <v>141.11380680620798</v>
      </c>
      <c r="N76" s="20">
        <f t="shared" si="15"/>
        <v>141.11380680620798</v>
      </c>
    </row>
  </sheetData>
  <mergeCells count="76">
    <mergeCell ref="K44:L44"/>
    <mergeCell ref="G44:H44"/>
    <mergeCell ref="K31:L32"/>
    <mergeCell ref="I31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G42:H42"/>
    <mergeCell ref="G43:H43"/>
    <mergeCell ref="K33:L33"/>
    <mergeCell ref="K34:L34"/>
    <mergeCell ref="K35:L35"/>
    <mergeCell ref="K36:L36"/>
    <mergeCell ref="K37:L37"/>
    <mergeCell ref="K38:L38"/>
    <mergeCell ref="K39:L39"/>
    <mergeCell ref="K40:L40"/>
    <mergeCell ref="K41:L41"/>
    <mergeCell ref="K42:L42"/>
    <mergeCell ref="K43:L43"/>
    <mergeCell ref="G37:H37"/>
    <mergeCell ref="G38:H38"/>
    <mergeCell ref="G39:H39"/>
    <mergeCell ref="G40:H40"/>
    <mergeCell ref="G41:H41"/>
    <mergeCell ref="G31:H32"/>
    <mergeCell ref="G33:H33"/>
    <mergeCell ref="G34:H34"/>
    <mergeCell ref="G35:H35"/>
    <mergeCell ref="G36:H36"/>
    <mergeCell ref="C37:D37"/>
    <mergeCell ref="C38:D38"/>
    <mergeCell ref="C40:D40"/>
    <mergeCell ref="C41:D41"/>
    <mergeCell ref="E40:F40"/>
    <mergeCell ref="E41:F41"/>
    <mergeCell ref="A31:B31"/>
    <mergeCell ref="C31:D32"/>
    <mergeCell ref="E31:F32"/>
    <mergeCell ref="E33:F33"/>
    <mergeCell ref="C33:D33"/>
    <mergeCell ref="A25:B25"/>
    <mergeCell ref="A27:B27"/>
    <mergeCell ref="T12:T13"/>
    <mergeCell ref="C12:N12"/>
    <mergeCell ref="A12:B12"/>
    <mergeCell ref="Q12:Q13"/>
    <mergeCell ref="O12:O13"/>
    <mergeCell ref="P12:P13"/>
    <mergeCell ref="A26:B26"/>
    <mergeCell ref="C35:D35"/>
    <mergeCell ref="C36:D36"/>
    <mergeCell ref="E34:F34"/>
    <mergeCell ref="E35:F35"/>
    <mergeCell ref="E36:F36"/>
    <mergeCell ref="A64:B64"/>
    <mergeCell ref="C64:N64"/>
    <mergeCell ref="C39:D39"/>
    <mergeCell ref="C42:D42"/>
    <mergeCell ref="C43:D43"/>
    <mergeCell ref="A47:B47"/>
    <mergeCell ref="C47:N47"/>
    <mergeCell ref="E37:F37"/>
    <mergeCell ref="E38:F38"/>
    <mergeCell ref="E39:F39"/>
    <mergeCell ref="E42:F42"/>
    <mergeCell ref="E43:F43"/>
    <mergeCell ref="C34:D34"/>
  </mergeCells>
  <conditionalFormatting sqref="C39:D39 C42:D43 C33:D36 E33:H43">
    <cfRule type="cellIs" dxfId="10" priority="19" operator="greaterThan">
      <formula>0</formula>
    </cfRule>
  </conditionalFormatting>
  <conditionalFormatting sqref="C26:N27">
    <cfRule type="cellIs" dxfId="9" priority="18" operator="greaterThan">
      <formula>-1</formula>
    </cfRule>
  </conditionalFormatting>
  <conditionalFormatting sqref="P14:Q24">
    <cfRule type="cellIs" dxfId="8" priority="17" operator="greaterThan">
      <formula>-1</formula>
    </cfRule>
  </conditionalFormatting>
  <conditionalFormatting sqref="C14:N24">
    <cfRule type="cellIs" dxfId="7" priority="16" operator="greaterThan">
      <formula>0</formula>
    </cfRule>
  </conditionalFormatting>
  <conditionalFormatting sqref="C37">
    <cfRule type="cellIs" dxfId="6" priority="11" operator="greaterThan">
      <formula>0</formula>
    </cfRule>
  </conditionalFormatting>
  <conditionalFormatting sqref="C38">
    <cfRule type="cellIs" dxfId="5" priority="10" operator="greaterThan">
      <formula>0</formula>
    </cfRule>
  </conditionalFormatting>
  <conditionalFormatting sqref="C40">
    <cfRule type="cellIs" dxfId="4" priority="9" operator="greaterThan">
      <formula>0</formula>
    </cfRule>
  </conditionalFormatting>
  <conditionalFormatting sqref="C41">
    <cfRule type="cellIs" dxfId="3" priority="8" operator="greaterThan">
      <formula>0</formula>
    </cfRule>
  </conditionalFormatting>
  <conditionalFormatting sqref="B7:B9">
    <cfRule type="cellIs" dxfId="2" priority="5" operator="greaterThan">
      <formula>-1</formula>
    </cfRule>
  </conditionalFormatting>
  <conditionalFormatting sqref="O14:O24">
    <cfRule type="cellIs" dxfId="1" priority="4" operator="equal">
      <formula>0</formula>
    </cfRule>
  </conditionalFormatting>
  <conditionalFormatting sqref="C49:N59">
    <cfRule type="cellIs" dxfId="0" priority="1" operator="greaterThan">
      <formula>0</formula>
    </cfRule>
  </conditionalFormatting>
  <pageMargins left="0.7" right="0.7" top="0.75" bottom="0.75" header="0.3" footer="0.3"/>
  <pageSetup scale="52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print="0" autoLine="0" autoPict="0" r:id="rId5">
            <anchor moveWithCells="1">
              <from>
                <xdr:col>15</xdr:col>
                <xdr:colOff>409575</xdr:colOff>
                <xdr:row>2</xdr:row>
                <xdr:rowOff>9525</xdr:rowOff>
              </from>
              <to>
                <xdr:col>16</xdr:col>
                <xdr:colOff>781050</xdr:colOff>
                <xdr:row>5</xdr:row>
                <xdr:rowOff>9525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print="0" autoLine="0" autoPict="0" r:id="rId7">
            <anchor moveWithCells="1">
              <from>
                <xdr:col>10</xdr:col>
                <xdr:colOff>276225</xdr:colOff>
                <xdr:row>2</xdr:row>
                <xdr:rowOff>0</xdr:rowOff>
              </from>
              <to>
                <xdr:col>15</xdr:col>
                <xdr:colOff>314325</xdr:colOff>
                <xdr:row>5</xdr:row>
                <xdr:rowOff>9525</xdr:rowOff>
              </to>
            </anchor>
          </controlPr>
        </control>
      </mc:Choice>
      <mc:Fallback>
        <control shapeId="1028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Decision</vt:lpstr>
      <vt:lpstr>plane_loads</vt:lpstr>
      <vt:lpstr>preferences</vt:lpstr>
    </vt:vector>
  </TitlesOfParts>
  <Company>IVB Software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SFO Gate Allocation Calculator</dc:title>
  <dc:creator>Igor Baranov</dc:creator>
  <cp:lastModifiedBy>Igor Baranov</cp:lastModifiedBy>
  <cp:lastPrinted>2018-06-17T04:54:47Z</cp:lastPrinted>
  <dcterms:created xsi:type="dcterms:W3CDTF">2018-06-13T14:45:14Z</dcterms:created>
  <dcterms:modified xsi:type="dcterms:W3CDTF">2018-06-17T06:03:27Z</dcterms:modified>
</cp:coreProperties>
</file>